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Dir\ProjSpace\M2114_Wisting\Sima\"/>
    </mc:Choice>
  </mc:AlternateContent>
  <xr:revisionPtr revIDLastSave="0" documentId="13_ncr:1_{E36439CE-C021-4324-A048-37DBCBEC8369}" xr6:coauthVersionLast="47" xr6:coauthVersionMax="47" xr10:uidLastSave="{00000000-0000-0000-0000-000000000000}"/>
  <bookViews>
    <workbookView xWindow="2550" yWindow="1995" windowWidth="30615" windowHeight="15345" activeTab="1" xr2:uid="{00000000-000D-0000-FFFF-FFFF00000000}"/>
  </bookViews>
  <sheets>
    <sheet name="SIMA" sheetId="1" r:id="rId1"/>
    <sheet name="SIMAPlt" sheetId="2" r:id="rId2"/>
  </sheets>
  <definedNames>
    <definedName name="_gamma_corr" localSheetId="1">0.577215664901532*SQRT(6)/PI()</definedName>
    <definedName name="MBL">19748</definedName>
    <definedName name="nSD" localSheetId="1">21</definedName>
    <definedName name="PreTenB">944</definedName>
    <definedName name="PreTenL">814</definedName>
    <definedName name="SFactors">SIMAPlt!$AF$21:$AJ$27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5" i="2"/>
  <c r="AA245" i="2" a="1"/>
  <c r="AA245" i="2" s="1"/>
  <c r="AB245" i="2" s="1"/>
  <c r="AC245" i="2" a="1"/>
  <c r="AC245" i="2" s="1"/>
  <c r="AE245" i="2" s="1"/>
  <c r="AD245" i="2" a="1"/>
  <c r="AD245" i="2" s="1"/>
  <c r="AA246" i="2" a="1"/>
  <c r="AA246" i="2" s="1"/>
  <c r="AB246" i="2" s="1"/>
  <c r="AC246" i="2" a="1"/>
  <c r="AC246" i="2" s="1"/>
  <c r="AD246" i="2" a="1"/>
  <c r="AD246" i="2" s="1"/>
  <c r="AA247" i="2" a="1"/>
  <c r="AA247" i="2" s="1"/>
  <c r="AB247" i="2" s="1"/>
  <c r="AC247" i="2" a="1"/>
  <c r="AC247" i="2" s="1"/>
  <c r="AD247" i="2" a="1"/>
  <c r="AD247" i="2" s="1"/>
  <c r="AA248" i="2" a="1"/>
  <c r="AA248" i="2" s="1"/>
  <c r="AB248" i="2" s="1"/>
  <c r="AC248" i="2" a="1"/>
  <c r="AC248" i="2" s="1"/>
  <c r="AD248" i="2" a="1"/>
  <c r="AD248" i="2" s="1"/>
  <c r="AA249" i="2" a="1"/>
  <c r="AA249" i="2" s="1"/>
  <c r="AB249" i="2" s="1"/>
  <c r="AC249" i="2" a="1"/>
  <c r="AC249" i="2" s="1"/>
  <c r="AD249" i="2" a="1"/>
  <c r="AD249" i="2" s="1"/>
  <c r="AA250" i="2" a="1"/>
  <c r="AA250" i="2" s="1"/>
  <c r="AB250" i="2" s="1"/>
  <c r="AC250" i="2" a="1"/>
  <c r="AC250" i="2" s="1"/>
  <c r="AD250" i="2" a="1"/>
  <c r="AD250" i="2" s="1"/>
  <c r="AA251" i="2" a="1"/>
  <c r="AA251" i="2" s="1"/>
  <c r="AB251" i="2" s="1"/>
  <c r="AC251" i="2" a="1"/>
  <c r="AC251" i="2" s="1"/>
  <c r="AD251" i="2" a="1"/>
  <c r="AD251" i="2" s="1"/>
  <c r="AA252" i="2" a="1"/>
  <c r="AA252" i="2" s="1"/>
  <c r="AB252" i="2" s="1"/>
  <c r="AC252" i="2" a="1"/>
  <c r="AC252" i="2" s="1"/>
  <c r="AD252" i="2" a="1"/>
  <c r="AD252" i="2" s="1"/>
  <c r="AA253" i="2" a="1"/>
  <c r="AA253" i="2" s="1"/>
  <c r="AB253" i="2" s="1"/>
  <c r="AC253" i="2" a="1"/>
  <c r="AC253" i="2" s="1"/>
  <c r="AD253" i="2" a="1"/>
  <c r="AD253" i="2" s="1"/>
  <c r="AA254" i="2" a="1"/>
  <c r="AA254" i="2" s="1"/>
  <c r="AB254" i="2" s="1"/>
  <c r="AC254" i="2" a="1"/>
  <c r="AC254" i="2" s="1"/>
  <c r="AD254" i="2" a="1"/>
  <c r="AD254" i="2" s="1"/>
  <c r="AA255" i="2" a="1"/>
  <c r="AA255" i="2" s="1"/>
  <c r="AB255" i="2" s="1"/>
  <c r="AC255" i="2" a="1"/>
  <c r="AC255" i="2" s="1"/>
  <c r="AD255" i="2" a="1"/>
  <c r="AD255" i="2" s="1"/>
  <c r="AA256" i="2" a="1"/>
  <c r="AA256" i="2" s="1"/>
  <c r="AB256" i="2" s="1"/>
  <c r="AC256" i="2" a="1"/>
  <c r="AC256" i="2" s="1"/>
  <c r="AD256" i="2" a="1"/>
  <c r="AD256" i="2" s="1"/>
  <c r="Y15" i="2" a="1"/>
  <c r="Y7" i="2" a="1"/>
  <c r="S14" i="2" a="1"/>
  <c r="Y5" i="2" a="1"/>
  <c r="S16" i="2" a="1"/>
  <c r="Y9" i="2" a="1"/>
  <c r="S5" i="2" a="1"/>
  <c r="Y14" i="2" a="1"/>
  <c r="Y6" i="2" a="1"/>
  <c r="S13" i="2" a="1"/>
  <c r="S10" i="2" a="1"/>
  <c r="Y10" i="2" a="1"/>
  <c r="Y11" i="2" a="1"/>
  <c r="S15" i="2" a="1"/>
  <c r="S11" i="2" a="1"/>
  <c r="S12" i="2" a="1"/>
  <c r="S8" i="2" a="1"/>
  <c r="S9" i="2" a="1"/>
  <c r="Y12" i="2" a="1"/>
  <c r="Y8" i="2" a="1"/>
  <c r="Y13" i="2" a="1"/>
  <c r="S7" i="2" a="1"/>
  <c r="S6" i="2" a="1"/>
  <c r="Y16" i="2" a="1"/>
  <c r="AE250" i="2" l="1"/>
  <c r="AE246" i="2"/>
  <c r="AE253" i="2"/>
  <c r="AE255" i="2"/>
  <c r="AE254" i="2"/>
  <c r="AE252" i="2"/>
  <c r="AE249" i="2"/>
  <c r="AE251" i="2"/>
  <c r="AE247" i="2"/>
  <c r="AE248" i="2"/>
  <c r="Y5" i="2"/>
  <c r="Y9" i="2"/>
  <c r="Y15" i="2"/>
  <c r="Y12" i="2"/>
  <c r="Y13" i="2"/>
  <c r="Y16" i="2"/>
  <c r="Y6" i="2"/>
  <c r="Y7" i="2"/>
  <c r="Y8" i="2"/>
  <c r="Y10" i="2"/>
  <c r="Y11" i="2"/>
  <c r="Y14" i="2"/>
  <c r="S6" i="2"/>
  <c r="S10" i="2"/>
  <c r="S12" i="2"/>
  <c r="S15" i="2"/>
  <c r="S7" i="2"/>
  <c r="S9" i="2"/>
  <c r="S11" i="2"/>
  <c r="S14" i="2"/>
  <c r="S16" i="2"/>
  <c r="S8" i="2"/>
  <c r="S13" i="2"/>
  <c r="S5" i="2"/>
  <c r="AE256" i="2"/>
  <c r="AA12" i="2" a="1"/>
  <c r="AA12" i="2" s="1"/>
  <c r="AB12" i="2" s="1"/>
  <c r="AA19" i="2" a="1"/>
  <c r="AA19" i="2" s="1"/>
  <c r="AB19" i="2" s="1"/>
  <c r="AC27" i="2" a="1"/>
  <c r="AC27" i="2" s="1"/>
  <c r="AC28" i="2" a="1"/>
  <c r="AC28" i="2" s="1"/>
  <c r="AC33" i="2" a="1"/>
  <c r="AC33" i="2" s="1"/>
  <c r="AD36" i="2" a="1"/>
  <c r="AD36" i="2" s="1"/>
  <c r="AD40" i="2" a="1"/>
  <c r="AD40" i="2" s="1"/>
  <c r="AD41" i="2" a="1"/>
  <c r="AD41" i="2" s="1"/>
  <c r="AC42" i="2" a="1"/>
  <c r="AC42" i="2" s="1"/>
  <c r="AD45" i="2" a="1"/>
  <c r="AD45" i="2" s="1"/>
  <c r="AD56" i="2" a="1"/>
  <c r="AD56" i="2" s="1"/>
  <c r="AD60" i="2" a="1"/>
  <c r="AD60" i="2" s="1"/>
  <c r="AD65" i="2" a="1"/>
  <c r="AD65" i="2" s="1"/>
  <c r="AC68" i="2" a="1"/>
  <c r="AC68" i="2" s="1"/>
  <c r="AC71" i="2" a="1"/>
  <c r="AC71" i="2" s="1"/>
  <c r="AD74" i="2" a="1"/>
  <c r="AD74" i="2" s="1"/>
  <c r="AD75" i="2" a="1"/>
  <c r="AD75" i="2" s="1"/>
  <c r="AD77" i="2" a="1"/>
  <c r="AD77" i="2" s="1"/>
  <c r="AD81" i="2" a="1"/>
  <c r="AD81" i="2" s="1"/>
  <c r="AC86" i="2" a="1"/>
  <c r="AC86" i="2" s="1"/>
  <c r="AD87" i="2" a="1"/>
  <c r="AD87" i="2" s="1"/>
  <c r="AC88" i="2" a="1"/>
  <c r="AC88" i="2" s="1"/>
  <c r="AC91" i="2" a="1"/>
  <c r="AC91" i="2" s="1"/>
  <c r="AD92" i="2" a="1"/>
  <c r="AD92" i="2" s="1"/>
  <c r="AC100" i="2" a="1"/>
  <c r="AC100" i="2" s="1"/>
  <c r="AA106" i="2" a="1"/>
  <c r="AA106" i="2" s="1"/>
  <c r="AB106" i="2" s="1"/>
  <c r="AD109" i="2" a="1"/>
  <c r="AD109" i="2" s="1"/>
  <c r="AD115" i="2" a="1"/>
  <c r="AD115" i="2" s="1"/>
  <c r="AD119" i="2" a="1"/>
  <c r="AD119" i="2" s="1"/>
  <c r="AC123" i="2" a="1"/>
  <c r="AC123" i="2" s="1"/>
  <c r="AC124" i="2" a="1"/>
  <c r="AC124" i="2" s="1"/>
  <c r="AD129" i="2" a="1"/>
  <c r="AD129" i="2" s="1"/>
  <c r="AD132" i="2" a="1"/>
  <c r="AD132" i="2" s="1"/>
  <c r="AD137" i="2" a="1"/>
  <c r="AD137" i="2" s="1"/>
  <c r="AD145" i="2" a="1"/>
  <c r="AD145" i="2" s="1"/>
  <c r="AD147" i="2" a="1"/>
  <c r="AD147" i="2" s="1"/>
  <c r="AA155" i="2" a="1"/>
  <c r="AA155" i="2" s="1"/>
  <c r="AB155" i="2" s="1"/>
  <c r="AD156" i="2" a="1"/>
  <c r="AD156" i="2" s="1"/>
  <c r="AA160" i="2" a="1"/>
  <c r="AA160" i="2" s="1"/>
  <c r="AB160" i="2" s="1"/>
  <c r="AC161" i="2" a="1"/>
  <c r="AC161" i="2" s="1"/>
  <c r="AD164" i="2" a="1"/>
  <c r="AD164" i="2" s="1"/>
  <c r="AA167" i="2" a="1"/>
  <c r="AA167" i="2" s="1"/>
  <c r="AB167" i="2" s="1"/>
  <c r="AC169" i="2" a="1"/>
  <c r="AC169" i="2" s="1"/>
  <c r="AC172" i="2" a="1"/>
  <c r="AC172" i="2" s="1"/>
  <c r="AC173" i="2" a="1"/>
  <c r="AC173" i="2" s="1"/>
  <c r="AD179" i="2" a="1"/>
  <c r="AD179" i="2" s="1"/>
  <c r="AA186" i="2" a="1"/>
  <c r="AA186" i="2" s="1"/>
  <c r="AB186" i="2" s="1"/>
  <c r="AC187" i="2" a="1"/>
  <c r="AC187" i="2" s="1"/>
  <c r="AD192" i="2" a="1"/>
  <c r="AD192" i="2" s="1"/>
  <c r="AD193" i="2" a="1"/>
  <c r="AD193" i="2" s="1"/>
  <c r="AC196" i="2" a="1"/>
  <c r="AC196" i="2" s="1"/>
  <c r="AD204" i="2" a="1"/>
  <c r="AD204" i="2" s="1"/>
  <c r="AA209" i="2" a="1"/>
  <c r="AA209" i="2" s="1"/>
  <c r="AB209" i="2" s="1"/>
  <c r="AC216" i="2" a="1"/>
  <c r="AC216" i="2" s="1"/>
  <c r="AD218" i="2" a="1"/>
  <c r="AD218" i="2" s="1"/>
  <c r="AD219" i="2" a="1"/>
  <c r="AD219" i="2" s="1"/>
  <c r="AD220" i="2" a="1"/>
  <c r="AD220" i="2" s="1"/>
  <c r="AD225" i="2" a="1"/>
  <c r="AD225" i="2" s="1"/>
  <c r="AD234" i="2" a="1"/>
  <c r="AD234" i="2" s="1"/>
  <c r="AD235" i="2" a="1"/>
  <c r="AD235" i="2" s="1"/>
  <c r="AC236" i="2" a="1"/>
  <c r="AC236" i="2" s="1"/>
  <c r="AD237" i="2" a="1"/>
  <c r="AD237" i="2" s="1"/>
  <c r="AD241" i="2" a="1"/>
  <c r="AD241" i="2" s="1"/>
  <c r="AD243" i="2" a="1"/>
  <c r="AD243" i="2" s="1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AA234" i="2" a="1"/>
  <c r="AA234" i="2" s="1"/>
  <c r="AB234" i="2" s="1"/>
  <c r="Q234" i="2"/>
  <c r="AD233" i="2" a="1"/>
  <c r="AD233" i="2" s="1"/>
  <c r="AC233" i="2" a="1"/>
  <c r="AC233" i="2" s="1"/>
  <c r="AA233" i="2" a="1"/>
  <c r="AA233" i="2" s="1"/>
  <c r="AB233" i="2" s="1"/>
  <c r="Q233" i="2"/>
  <c r="Q232" i="2"/>
  <c r="AD231" i="2" a="1"/>
  <c r="AD231" i="2" s="1"/>
  <c r="AC231" i="2" a="1"/>
  <c r="AC231" i="2" s="1"/>
  <c r="AA231" i="2" a="1"/>
  <c r="AA231" i="2" s="1"/>
  <c r="AB231" i="2" s="1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AD216" i="2" a="1"/>
  <c r="AD216" i="2" s="1"/>
  <c r="Q216" i="2"/>
  <c r="AD215" i="2" a="1"/>
  <c r="AD215" i="2" s="1"/>
  <c r="AC215" i="2" a="1"/>
  <c r="AC215" i="2" s="1"/>
  <c r="AA215" i="2" a="1"/>
  <c r="AA215" i="2" s="1"/>
  <c r="Q215" i="2"/>
  <c r="AD214" i="2" a="1"/>
  <c r="AD214" i="2" s="1"/>
  <c r="AC214" i="2" a="1"/>
  <c r="AC214" i="2" s="1"/>
  <c r="AA214" i="2" a="1"/>
  <c r="AA214" i="2" s="1"/>
  <c r="AB214" i="2" s="1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AD177" i="2" a="1"/>
  <c r="AD177" i="2" s="1"/>
  <c r="AC177" i="2" a="1"/>
  <c r="AC177" i="2" s="1"/>
  <c r="AE177" i="2" s="1"/>
  <c r="AA177" i="2" a="1"/>
  <c r="AA177" i="2" s="1"/>
  <c r="AB177" i="2" s="1"/>
  <c r="Q177" i="2"/>
  <c r="Q176" i="2"/>
  <c r="Q175" i="2"/>
  <c r="Q174" i="2"/>
  <c r="AD173" i="2" a="1"/>
  <c r="AD173" i="2" s="1"/>
  <c r="Q173" i="2"/>
  <c r="Q172" i="2"/>
  <c r="Q171" i="2"/>
  <c r="Q170" i="2"/>
  <c r="Q169" i="2"/>
  <c r="Q168" i="2"/>
  <c r="AD167" i="2" a="1"/>
  <c r="AD167" i="2" s="1"/>
  <c r="AC167" i="2" a="1"/>
  <c r="AC167" i="2" s="1"/>
  <c r="AE167" i="2" s="1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AD152" i="2" a="1"/>
  <c r="AD152" i="2" s="1"/>
  <c r="AC152" i="2" a="1"/>
  <c r="AC152" i="2" s="1"/>
  <c r="AA152" i="2" a="1"/>
  <c r="AA152" i="2" s="1"/>
  <c r="Q152" i="2"/>
  <c r="AD151" i="2" a="1"/>
  <c r="AD151" i="2" s="1"/>
  <c r="AC151" i="2" a="1"/>
  <c r="AC151" i="2" s="1"/>
  <c r="AA151" i="2" a="1"/>
  <c r="AA151" i="2" s="1"/>
  <c r="AB151" i="2" s="1"/>
  <c r="Q151" i="2"/>
  <c r="Q150" i="2"/>
  <c r="Q149" i="2"/>
  <c r="Q148" i="2"/>
  <c r="Q147" i="2"/>
  <c r="Q146" i="2"/>
  <c r="AA145" i="2" a="1"/>
  <c r="AA145" i="2" s="1"/>
  <c r="AB145" i="2" s="1"/>
  <c r="Q145" i="2"/>
  <c r="Q144" i="2"/>
  <c r="Q143" i="2"/>
  <c r="Q142" i="2"/>
  <c r="Q141" i="2"/>
  <c r="Q140" i="2"/>
  <c r="AD139" i="2" a="1"/>
  <c r="AD139" i="2" s="1"/>
  <c r="AC139" i="2" a="1"/>
  <c r="AC139" i="2" s="1"/>
  <c r="AA139" i="2" a="1"/>
  <c r="AA139" i="2" s="1"/>
  <c r="AB139" i="2" s="1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AC115" i="2" a="1"/>
  <c r="AC115" i="2" s="1"/>
  <c r="AA115" i="2" a="1"/>
  <c r="AA115" i="2" s="1"/>
  <c r="AB115" i="2" s="1"/>
  <c r="Q115" i="2"/>
  <c r="Q114" i="2"/>
  <c r="Q113" i="2"/>
  <c r="Q112" i="2"/>
  <c r="Q111" i="2"/>
  <c r="Q110" i="2"/>
  <c r="AA109" i="2" a="1"/>
  <c r="AA109" i="2" s="1"/>
  <c r="AB109" i="2" s="1"/>
  <c r="Q109" i="2"/>
  <c r="Q108" i="2"/>
  <c r="AD107" i="2" a="1"/>
  <c r="AD107" i="2" s="1"/>
  <c r="AC107" i="2" a="1"/>
  <c r="AC107" i="2" s="1"/>
  <c r="AA107" i="2" a="1"/>
  <c r="AA107" i="2" s="1"/>
  <c r="AB107" i="2" s="1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AC92" i="2" a="1"/>
  <c r="AC92" i="2" s="1"/>
  <c r="AA92" i="2" a="1"/>
  <c r="AA92" i="2" s="1"/>
  <c r="AB92" i="2" s="1"/>
  <c r="Q92" i="2"/>
  <c r="AD91" i="2" a="1"/>
  <c r="AD91" i="2" s="1"/>
  <c r="AA91" i="2" a="1"/>
  <c r="AA91" i="2" s="1"/>
  <c r="AB91" i="2" s="1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AA77" i="2" a="1"/>
  <c r="AA77" i="2" s="1"/>
  <c r="AB77" i="2" s="1"/>
  <c r="Q77" i="2"/>
  <c r="Q76" i="2"/>
  <c r="Q75" i="2"/>
  <c r="Q74" i="2"/>
  <c r="Q73" i="2"/>
  <c r="Q72" i="2"/>
  <c r="Q71" i="2"/>
  <c r="Q70" i="2"/>
  <c r="Q69" i="2"/>
  <c r="Q68" i="2"/>
  <c r="Q67" i="2"/>
  <c r="Q66" i="2"/>
  <c r="AC65" i="2" a="1"/>
  <c r="AC65" i="2" s="1"/>
  <c r="Q65" i="2"/>
  <c r="Q64" i="2"/>
  <c r="Q63" i="2"/>
  <c r="Q62" i="2"/>
  <c r="Q61" i="2"/>
  <c r="Q60" i="2"/>
  <c r="AD59" i="2" a="1"/>
  <c r="AD59" i="2" s="1"/>
  <c r="AC59" i="2" a="1"/>
  <c r="AC59" i="2" s="1"/>
  <c r="AA59" i="2" a="1"/>
  <c r="AA59" i="2" s="1"/>
  <c r="AB59" i="2" s="1"/>
  <c r="Q59" i="2"/>
  <c r="Q58" i="2"/>
  <c r="Q57" i="2"/>
  <c r="Q56" i="2"/>
  <c r="Q55" i="2"/>
  <c r="Q54" i="2"/>
  <c r="Q53" i="2"/>
  <c r="Q52" i="2"/>
  <c r="AD51" i="2" a="1"/>
  <c r="AD51" i="2" s="1"/>
  <c r="AC51" i="2" a="1"/>
  <c r="AC51" i="2" s="1"/>
  <c r="AA51" i="2" a="1"/>
  <c r="AA51" i="2" s="1"/>
  <c r="AB51" i="2" s="1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AD9" i="2" a="1"/>
  <c r="AD9" i="2" s="1"/>
  <c r="AC9" i="2" a="1"/>
  <c r="AC9" i="2" s="1"/>
  <c r="AA9" i="2" a="1"/>
  <c r="AA9" i="2" s="1"/>
  <c r="AB9" i="2" s="1"/>
  <c r="Q9" i="2"/>
  <c r="Q8" i="2"/>
  <c r="Q7" i="2"/>
  <c r="Q6" i="2"/>
  <c r="Q5" i="2"/>
  <c r="AG3" i="2"/>
  <c r="AA3" i="2"/>
  <c r="T3" i="2"/>
  <c r="S1" i="2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X9" i="2"/>
  <c r="X13" i="2"/>
  <c r="W7" i="2"/>
  <c r="W13" i="2"/>
  <c r="V6" i="2"/>
  <c r="W6" i="2"/>
  <c r="V10" i="2"/>
  <c r="AI8" i="2" a="1"/>
  <c r="X8" i="2"/>
  <c r="AJ7" i="2" a="1"/>
  <c r="AJ5" i="2" a="1"/>
  <c r="AK5" i="2" a="1"/>
  <c r="AG15" i="2" a="1"/>
  <c r="AK13" i="2" a="1"/>
  <c r="W16" i="2"/>
  <c r="AF9" i="2" a="1"/>
  <c r="AK15" i="2" a="1"/>
  <c r="AJ10" i="2" a="1"/>
  <c r="AI5" i="2" a="1"/>
  <c r="AF11" i="2" a="1"/>
  <c r="T8" i="2"/>
  <c r="V15" i="2"/>
  <c r="AF13" i="2" a="1"/>
  <c r="V13" i="2"/>
  <c r="AJ13" i="2" a="1"/>
  <c r="AI14" i="2" a="1"/>
  <c r="W8" i="2"/>
  <c r="AG12" i="2" a="1"/>
  <c r="T6" i="2"/>
  <c r="AJ12" i="2" a="1"/>
  <c r="AF5" i="2" a="1"/>
  <c r="X15" i="2"/>
  <c r="AI15" i="2" a="1"/>
  <c r="T16" i="2"/>
  <c r="V8" i="2"/>
  <c r="T14" i="2"/>
  <c r="X7" i="2"/>
  <c r="X5" i="2"/>
  <c r="AK6" i="2" a="1"/>
  <c r="AF12" i="2" a="1"/>
  <c r="AF8" i="2" a="1"/>
  <c r="X16" i="2"/>
  <c r="AI11" i="2" a="1"/>
  <c r="V9" i="2"/>
  <c r="AK9" i="2" a="1"/>
  <c r="AF7" i="2" a="1"/>
  <c r="AJ9" i="2" a="1"/>
  <c r="AK7" i="2" a="1"/>
  <c r="T9" i="2"/>
  <c r="AI10" i="2" a="1"/>
  <c r="T5" i="2"/>
  <c r="T15" i="2"/>
  <c r="AF6" i="2" a="1"/>
  <c r="V11" i="2"/>
  <c r="V16" i="2"/>
  <c r="AK14" i="2" a="1"/>
  <c r="V7" i="2"/>
  <c r="X14" i="2"/>
  <c r="T11" i="2"/>
  <c r="AI6" i="2" a="1"/>
  <c r="V14" i="2"/>
  <c r="AI13" i="2" a="1"/>
  <c r="W11" i="2"/>
  <c r="T13" i="2"/>
  <c r="AF16" i="2" a="1"/>
  <c r="W9" i="2"/>
  <c r="X11" i="2"/>
  <c r="AF10" i="2" a="1"/>
  <c r="X10" i="2"/>
  <c r="AI7" i="2" a="1"/>
  <c r="AK8" i="2" a="1"/>
  <c r="AI9" i="2" a="1"/>
  <c r="T10" i="2"/>
  <c r="T7" i="2"/>
  <c r="W15" i="2"/>
  <c r="W12" i="2"/>
  <c r="AJ16" i="2" a="1"/>
  <c r="AJ6" i="2" a="1"/>
  <c r="AI12" i="2" a="1"/>
  <c r="V12" i="2"/>
  <c r="AK10" i="2" a="1"/>
  <c r="AF15" i="2" a="1"/>
  <c r="AF14" i="2" a="1"/>
  <c r="W10" i="2"/>
  <c r="AK16" i="2" a="1"/>
  <c r="AI16" i="2" a="1"/>
  <c r="AJ15" i="2" a="1"/>
  <c r="W14" i="2"/>
  <c r="X6" i="2"/>
  <c r="AJ11" i="2" a="1"/>
  <c r="AK11" i="2" a="1"/>
  <c r="T12" i="2"/>
  <c r="V5" i="2"/>
  <c r="W5" i="2"/>
  <c r="X12" i="2"/>
  <c r="AK12" i="2" a="1"/>
  <c r="AJ14" i="2" a="1"/>
  <c r="AJ8" i="2" a="1"/>
  <c r="AE139" i="2" l="1"/>
  <c r="AE231" i="2"/>
  <c r="AE151" i="2"/>
  <c r="AK6" i="2"/>
  <c r="AK12" i="2"/>
  <c r="AJ5" i="2"/>
  <c r="AJ13" i="2"/>
  <c r="AI8" i="2"/>
  <c r="AK16" i="2"/>
  <c r="AI7" i="2"/>
  <c r="AI9" i="2"/>
  <c r="AJ9" i="2"/>
  <c r="AI5" i="2"/>
  <c r="AK5" i="2"/>
  <c r="AK14" i="2"/>
  <c r="AI12" i="2"/>
  <c r="AJ7" i="2"/>
  <c r="AI14" i="2"/>
  <c r="AK15" i="2"/>
  <c r="AI16" i="2"/>
  <c r="AI11" i="2"/>
  <c r="AI13" i="2"/>
  <c r="AK10" i="2"/>
  <c r="AJ6" i="2"/>
  <c r="AJ8" i="2"/>
  <c r="AK9" i="2"/>
  <c r="AJ12" i="2"/>
  <c r="AK8" i="2"/>
  <c r="AJ16" i="2"/>
  <c r="AK11" i="2"/>
  <c r="AK13" i="2"/>
  <c r="AJ11" i="2"/>
  <c r="AI6" i="2"/>
  <c r="AK7" i="2"/>
  <c r="AI15" i="2"/>
  <c r="AJ10" i="2"/>
  <c r="AJ14" i="2"/>
  <c r="AJ15" i="2"/>
  <c r="AI10" i="2"/>
  <c r="AG12" i="2"/>
  <c r="AG15" i="2"/>
  <c r="AC55" i="2" a="1"/>
  <c r="AC55" i="2" s="1"/>
  <c r="AD55" i="2" a="1"/>
  <c r="AD55" i="2" s="1"/>
  <c r="AA55" i="2" a="1"/>
  <c r="AA55" i="2" s="1"/>
  <c r="AB55" i="2" s="1"/>
  <c r="AC211" i="2" a="1"/>
  <c r="AC211" i="2" s="1"/>
  <c r="AD211" i="2" a="1"/>
  <c r="AD211" i="2" s="1"/>
  <c r="AA211" i="2" a="1"/>
  <c r="AA211" i="2" s="1"/>
  <c r="AB211" i="2" s="1"/>
  <c r="AC44" i="2" a="1"/>
  <c r="AC44" i="2" s="1"/>
  <c r="AA44" i="2" a="1"/>
  <c r="AA44" i="2" s="1"/>
  <c r="AB44" i="2" s="1"/>
  <c r="AD44" i="2" a="1"/>
  <c r="AD44" i="2" s="1"/>
  <c r="AD203" i="2" a="1"/>
  <c r="AD203" i="2" s="1"/>
  <c r="AA203" i="2" a="1"/>
  <c r="AA203" i="2" s="1"/>
  <c r="AB203" i="2" s="1"/>
  <c r="AA199" i="2" a="1"/>
  <c r="AA199" i="2" s="1"/>
  <c r="AB199" i="2" s="1"/>
  <c r="AD199" i="2" a="1"/>
  <c r="AD199" i="2" s="1"/>
  <c r="AC199" i="2" a="1"/>
  <c r="AC199" i="2" s="1"/>
  <c r="AA103" i="2" a="1"/>
  <c r="AA103" i="2" s="1"/>
  <c r="AB103" i="2" s="1"/>
  <c r="AD103" i="2" a="1"/>
  <c r="AD103" i="2" s="1"/>
  <c r="AC103" i="2" a="1"/>
  <c r="AC103" i="2" s="1"/>
  <c r="AE103" i="2" s="1"/>
  <c r="AD150" i="2" a="1"/>
  <c r="AD150" i="2" s="1"/>
  <c r="AC150" i="2" a="1"/>
  <c r="AC150" i="2" s="1"/>
  <c r="AA150" i="2" a="1"/>
  <c r="AA150" i="2" s="1"/>
  <c r="AB150" i="2" s="1"/>
  <c r="AD39" i="2" a="1"/>
  <c r="AD39" i="2" s="1"/>
  <c r="AA39" i="2" a="1"/>
  <c r="AA39" i="2" s="1"/>
  <c r="AB39" i="2" s="1"/>
  <c r="AC39" i="2" a="1"/>
  <c r="AC39" i="2" s="1"/>
  <c r="AC205" i="2" a="1"/>
  <c r="AC205" i="2" s="1"/>
  <c r="AD205" i="2" a="1"/>
  <c r="AD205" i="2" s="1"/>
  <c r="AD202" i="2" a="1"/>
  <c r="AD202" i="2" s="1"/>
  <c r="AA202" i="2" a="1"/>
  <c r="AA202" i="2" s="1"/>
  <c r="AB202" i="2" s="1"/>
  <c r="AC202" i="2" a="1"/>
  <c r="AC202" i="2" s="1"/>
  <c r="AC54" i="2" a="1"/>
  <c r="AC54" i="2" s="1"/>
  <c r="AA54" i="2" a="1"/>
  <c r="AA54" i="2" s="1"/>
  <c r="AB54" i="2" s="1"/>
  <c r="AD54" i="2" a="1"/>
  <c r="AD54" i="2" s="1"/>
  <c r="AD154" i="2" a="1"/>
  <c r="AD154" i="2" s="1"/>
  <c r="AC154" i="2" a="1"/>
  <c r="AC154" i="2" s="1"/>
  <c r="AE154" i="2" s="1"/>
  <c r="AA154" i="2" a="1"/>
  <c r="AA154" i="2" s="1"/>
  <c r="AB154" i="2" s="1"/>
  <c r="AD201" i="2" a="1"/>
  <c r="AD201" i="2" s="1"/>
  <c r="AA201" i="2" a="1"/>
  <c r="AA201" i="2" s="1"/>
  <c r="AB201" i="2" s="1"/>
  <c r="AC201" i="2" a="1"/>
  <c r="AC201" i="2" s="1"/>
  <c r="AC188" i="2" a="1"/>
  <c r="AC188" i="2" s="1"/>
  <c r="AA188" i="2" a="1"/>
  <c r="AA188" i="2" s="1"/>
  <c r="AB188" i="2" s="1"/>
  <c r="AD188" i="2" a="1"/>
  <c r="AD188" i="2" s="1"/>
  <c r="AC58" i="2" a="1"/>
  <c r="AC58" i="2" s="1"/>
  <c r="AD58" i="2" a="1"/>
  <c r="AD58" i="2" s="1"/>
  <c r="AA58" i="2" a="1"/>
  <c r="AA58" i="2" s="1"/>
  <c r="AB58" i="2" s="1"/>
  <c r="AB152" i="2"/>
  <c r="AA104" i="2" a="1"/>
  <c r="AA104" i="2" s="1"/>
  <c r="AB104" i="2" s="1"/>
  <c r="AC104" i="2" a="1"/>
  <c r="AC104" i="2" s="1"/>
  <c r="AD104" i="2" a="1"/>
  <c r="AD104" i="2" s="1"/>
  <c r="AA97" i="2" a="1"/>
  <c r="AA97" i="2" s="1"/>
  <c r="AB97" i="2" s="1"/>
  <c r="AD97" i="2" a="1"/>
  <c r="AD97" i="2" s="1"/>
  <c r="AC97" i="2" a="1"/>
  <c r="AC97" i="2" s="1"/>
  <c r="AC96" i="2" a="1"/>
  <c r="AC96" i="2" s="1"/>
  <c r="AD96" i="2" a="1"/>
  <c r="AD96" i="2" s="1"/>
  <c r="AA90" i="2" a="1"/>
  <c r="AA90" i="2" s="1"/>
  <c r="AB90" i="2" s="1"/>
  <c r="AD90" i="2" a="1"/>
  <c r="AD90" i="2" s="1"/>
  <c r="AC90" i="2" a="1"/>
  <c r="AC90" i="2" s="1"/>
  <c r="AE90" i="2" s="1"/>
  <c r="AD141" i="2" a="1"/>
  <c r="AD141" i="2" s="1"/>
  <c r="AC141" i="2" a="1"/>
  <c r="AC141" i="2" s="1"/>
  <c r="AE141" i="2" s="1"/>
  <c r="AA141" i="2" a="1"/>
  <c r="AA141" i="2" s="1"/>
  <c r="AB141" i="2" s="1"/>
  <c r="AC136" i="2" a="1"/>
  <c r="AC136" i="2" s="1"/>
  <c r="AA136" i="2" a="1"/>
  <c r="AA136" i="2" s="1"/>
  <c r="AB136" i="2" s="1"/>
  <c r="AD136" i="2" a="1"/>
  <c r="AD136" i="2" s="1"/>
  <c r="AC128" i="2" a="1"/>
  <c r="AC128" i="2" s="1"/>
  <c r="AD128" i="2" a="1"/>
  <c r="AD128" i="2" s="1"/>
  <c r="AA128" i="2" a="1"/>
  <c r="AA128" i="2" s="1"/>
  <c r="AB128" i="2" s="1"/>
  <c r="AA22" i="2" a="1"/>
  <c r="AA22" i="2" s="1"/>
  <c r="AB22" i="2" s="1"/>
  <c r="AD22" i="2" a="1"/>
  <c r="AD22" i="2" s="1"/>
  <c r="AC22" i="2" a="1"/>
  <c r="AC22" i="2" s="1"/>
  <c r="AD224" i="2" a="1"/>
  <c r="AD224" i="2" s="1"/>
  <c r="AA224" i="2" a="1"/>
  <c r="AA224" i="2" s="1"/>
  <c r="AB224" i="2" s="1"/>
  <c r="AA168" i="2" a="1"/>
  <c r="AA168" i="2" s="1"/>
  <c r="AB168" i="2" s="1"/>
  <c r="AD168" i="2" a="1"/>
  <c r="AD168" i="2" s="1"/>
  <c r="AC168" i="2" a="1"/>
  <c r="AC168" i="2" s="1"/>
  <c r="AE168" i="2" s="1"/>
  <c r="AD10" i="2" a="1"/>
  <c r="AD10" i="2" s="1"/>
  <c r="AA10" i="2" a="1"/>
  <c r="AA10" i="2" s="1"/>
  <c r="AB10" i="2" s="1"/>
  <c r="AC10" i="2" a="1"/>
  <c r="AC10" i="2" s="1"/>
  <c r="AE10" i="2" s="1"/>
  <c r="AA49" i="2" a="1"/>
  <c r="AA49" i="2" s="1"/>
  <c r="AB49" i="2" s="1"/>
  <c r="AD49" i="2" a="1"/>
  <c r="AD49" i="2" s="1"/>
  <c r="AC49" i="2" a="1"/>
  <c r="AC49" i="2" s="1"/>
  <c r="AD200" i="2" a="1"/>
  <c r="AD200" i="2" s="1"/>
  <c r="AA200" i="2" a="1"/>
  <c r="AA200" i="2" s="1"/>
  <c r="AB200" i="2" s="1"/>
  <c r="AC200" i="2" a="1"/>
  <c r="AC200" i="2" s="1"/>
  <c r="AA183" i="2" a="1"/>
  <c r="AA183" i="2" s="1"/>
  <c r="AB183" i="2" s="1"/>
  <c r="AC183" i="2" a="1"/>
  <c r="AC183" i="2" s="1"/>
  <c r="AD183" i="2" a="1"/>
  <c r="AD183" i="2" s="1"/>
  <c r="AD182" i="2" a="1"/>
  <c r="AD182" i="2" s="1"/>
  <c r="AC182" i="2" a="1"/>
  <c r="AC182" i="2" s="1"/>
  <c r="AA182" i="2" a="1"/>
  <c r="AA182" i="2" s="1"/>
  <c r="AB182" i="2" s="1"/>
  <c r="AA23" i="2" a="1"/>
  <c r="AA23" i="2" s="1"/>
  <c r="AB23" i="2" s="1"/>
  <c r="AC23" i="2" a="1"/>
  <c r="AC23" i="2" s="1"/>
  <c r="AD23" i="2" a="1"/>
  <c r="AD23" i="2" s="1"/>
  <c r="AC64" i="2" a="1"/>
  <c r="AC64" i="2" s="1"/>
  <c r="AD64" i="2" a="1"/>
  <c r="AD64" i="2" s="1"/>
  <c r="AA64" i="2" a="1"/>
  <c r="AA64" i="2" s="1"/>
  <c r="AB64" i="2" s="1"/>
  <c r="AA43" i="2" a="1"/>
  <c r="AA43" i="2" s="1"/>
  <c r="AB43" i="2" s="1"/>
  <c r="AC43" i="2" a="1"/>
  <c r="AC43" i="2" s="1"/>
  <c r="AD43" i="2" a="1"/>
  <c r="AD43" i="2" s="1"/>
  <c r="AD120" i="2" a="1"/>
  <c r="AD120" i="2" s="1"/>
  <c r="AC120" i="2" a="1"/>
  <c r="AC120" i="2" s="1"/>
  <c r="AA120" i="2" a="1"/>
  <c r="AA120" i="2" s="1"/>
  <c r="AB120" i="2" s="1"/>
  <c r="AA140" i="2" a="1"/>
  <c r="AA140" i="2" s="1"/>
  <c r="AB140" i="2" s="1"/>
  <c r="AC140" i="2" a="1"/>
  <c r="AC140" i="2" s="1"/>
  <c r="AD140" i="2" a="1"/>
  <c r="AD140" i="2" s="1"/>
  <c r="AC135" i="2" a="1"/>
  <c r="AC135" i="2" s="1"/>
  <c r="AA135" i="2" a="1"/>
  <c r="AA135" i="2" s="1"/>
  <c r="AB135" i="2" s="1"/>
  <c r="AD135" i="2" a="1"/>
  <c r="AD135" i="2" s="1"/>
  <c r="AD184" i="2" a="1"/>
  <c r="AD184" i="2" s="1"/>
  <c r="AA184" i="2" a="1"/>
  <c r="AA184" i="2" s="1"/>
  <c r="AB184" i="2" s="1"/>
  <c r="AC184" i="2" a="1"/>
  <c r="AC184" i="2" s="1"/>
  <c r="AC26" i="2" a="1"/>
  <c r="AC26" i="2" s="1"/>
  <c r="AE26" i="2" s="1"/>
  <c r="AA26" i="2" a="1"/>
  <c r="AA26" i="2" s="1"/>
  <c r="AD26" i="2" a="1"/>
  <c r="AD26" i="2" s="1"/>
  <c r="AC24" i="2" a="1"/>
  <c r="AC24" i="2" s="1"/>
  <c r="AE24" i="2" s="1"/>
  <c r="AD24" i="2" a="1"/>
  <c r="AD24" i="2" s="1"/>
  <c r="AA24" i="2" a="1"/>
  <c r="AA24" i="2" s="1"/>
  <c r="AB24" i="2" s="1"/>
  <c r="AD17" i="2" a="1"/>
  <c r="AD17" i="2" s="1"/>
  <c r="AC17" i="2" a="1"/>
  <c r="AC17" i="2" s="1"/>
  <c r="AE17" i="2" s="1"/>
  <c r="AA17" i="2" a="1"/>
  <c r="AA17" i="2" s="1"/>
  <c r="AB17" i="2" s="1"/>
  <c r="AC118" i="2" a="1"/>
  <c r="AC118" i="2" s="1"/>
  <c r="AD118" i="2" a="1"/>
  <c r="AD118" i="2" s="1"/>
  <c r="AA118" i="2" a="1"/>
  <c r="AA118" i="2" s="1"/>
  <c r="AB118" i="2" s="1"/>
  <c r="AD8" i="2" a="1"/>
  <c r="AD8" i="2" s="1"/>
  <c r="AC8" i="2" a="1"/>
  <c r="AC8" i="2" s="1"/>
  <c r="AE8" i="2" s="1"/>
  <c r="AA8" i="2" a="1"/>
  <c r="AA8" i="2" s="1"/>
  <c r="AB8" i="2" s="1"/>
  <c r="AA232" i="2" a="1"/>
  <c r="AA232" i="2" s="1"/>
  <c r="AB232" i="2" s="1"/>
  <c r="AD232" i="2" a="1"/>
  <c r="AD232" i="2" s="1"/>
  <c r="AC232" i="2" a="1"/>
  <c r="AC232" i="2" s="1"/>
  <c r="AD228" i="2" a="1"/>
  <c r="AD228" i="2" s="1"/>
  <c r="AC228" i="2" a="1"/>
  <c r="AC228" i="2" s="1"/>
  <c r="AC73" i="2" a="1"/>
  <c r="AC73" i="2" s="1"/>
  <c r="AE73" i="2" s="1"/>
  <c r="AD73" i="2" a="1"/>
  <c r="AD73" i="2" s="1"/>
  <c r="AA73" i="2" a="1"/>
  <c r="AA73" i="2" s="1"/>
  <c r="AB73" i="2" s="1"/>
  <c r="AC72" i="2" a="1"/>
  <c r="AC72" i="2" s="1"/>
  <c r="AA72" i="2" a="1"/>
  <c r="AA72" i="2" s="1"/>
  <c r="AB72" i="2" s="1"/>
  <c r="AD72" i="2" a="1"/>
  <c r="AD72" i="2" s="1"/>
  <c r="AC170" i="2" a="1"/>
  <c r="AC170" i="2" s="1"/>
  <c r="AD170" i="2" a="1"/>
  <c r="AD170" i="2" s="1"/>
  <c r="AA170" i="2" a="1"/>
  <c r="AA170" i="2" s="1"/>
  <c r="AB170" i="2" s="1"/>
  <c r="AA7" i="2" a="1"/>
  <c r="AA7" i="2" s="1"/>
  <c r="AB7" i="2" s="1"/>
  <c r="AD7" i="2" a="1"/>
  <c r="AD7" i="2" s="1"/>
  <c r="AC7" i="2" a="1"/>
  <c r="AC7" i="2" s="1"/>
  <c r="AC108" i="2" a="1"/>
  <c r="AC108" i="2" s="1"/>
  <c r="AD108" i="2" a="1"/>
  <c r="AD108" i="2" s="1"/>
  <c r="AA108" i="2" a="1"/>
  <c r="AA108" i="2" s="1"/>
  <c r="AB108" i="2" s="1"/>
  <c r="AD105" i="2" a="1"/>
  <c r="AD105" i="2" s="1"/>
  <c r="AC105" i="2" a="1"/>
  <c r="AC105" i="2" s="1"/>
  <c r="AA105" i="2" a="1"/>
  <c r="AA105" i="2" s="1"/>
  <c r="AB105" i="2" s="1"/>
  <c r="AC138" i="2" a="1"/>
  <c r="AC138" i="2" s="1"/>
  <c r="AD138" i="2" a="1"/>
  <c r="AD138" i="2" s="1"/>
  <c r="AA138" i="2" a="1"/>
  <c r="AA138" i="2" s="1"/>
  <c r="AB138" i="2" s="1"/>
  <c r="AC83" i="2" a="1"/>
  <c r="AC83" i="2" s="1"/>
  <c r="AD83" i="2" a="1"/>
  <c r="AD83" i="2" s="1"/>
  <c r="AC76" i="2" a="1"/>
  <c r="AC76" i="2" s="1"/>
  <c r="AE76" i="2" s="1"/>
  <c r="AD76" i="2" a="1"/>
  <c r="AD76" i="2" s="1"/>
  <c r="AC122" i="2" a="1"/>
  <c r="AC122" i="2" s="1"/>
  <c r="AD122" i="2" a="1"/>
  <c r="AD122" i="2" s="1"/>
  <c r="AA122" i="2" a="1"/>
  <c r="AA122" i="2" s="1"/>
  <c r="AB122" i="2" s="1"/>
  <c r="AD171" i="2" a="1"/>
  <c r="AD171" i="2" s="1"/>
  <c r="AA171" i="2" a="1"/>
  <c r="AA171" i="2" s="1"/>
  <c r="AB171" i="2" s="1"/>
  <c r="AC171" i="2" a="1"/>
  <c r="AC171" i="2" s="1"/>
  <c r="AE171" i="2" s="1"/>
  <c r="AD11" i="2" a="1"/>
  <c r="AD11" i="2" s="1"/>
  <c r="AC11" i="2" a="1"/>
  <c r="AC11" i="2" s="1"/>
  <c r="AA11" i="2" a="1"/>
  <c r="AA11" i="2" s="1"/>
  <c r="AB11" i="2" s="1"/>
  <c r="AD113" i="2" a="1"/>
  <c r="AD113" i="2" s="1"/>
  <c r="AA113" i="2" a="1"/>
  <c r="AA113" i="2" s="1"/>
  <c r="AB113" i="2" s="1"/>
  <c r="AD169" i="2" a="1"/>
  <c r="AD169" i="2" s="1"/>
  <c r="AE169" i="2" s="1"/>
  <c r="AA169" i="2" a="1"/>
  <c r="AA169" i="2" s="1"/>
  <c r="AB169" i="2" s="1"/>
  <c r="AC87" i="2" a="1"/>
  <c r="AC87" i="2" s="1"/>
  <c r="AE87" i="2" s="1"/>
  <c r="AA147" i="2" a="1"/>
  <c r="AA147" i="2" s="1"/>
  <c r="AB147" i="2" s="1"/>
  <c r="AE59" i="2"/>
  <c r="AC234" i="2" a="1"/>
  <c r="AC234" i="2" s="1"/>
  <c r="AE234" i="2" s="1"/>
  <c r="AA87" i="2" a="1"/>
  <c r="AA87" i="2" s="1"/>
  <c r="AB87" i="2" s="1"/>
  <c r="AA235" i="2" a="1"/>
  <c r="AA235" i="2" s="1"/>
  <c r="AB235" i="2" s="1"/>
  <c r="AD86" i="2" a="1"/>
  <c r="AD86" i="2" s="1"/>
  <c r="AA36" i="2" a="1"/>
  <c r="AA36" i="2" s="1"/>
  <c r="AB36" i="2" s="1"/>
  <c r="AC36" i="2" a="1"/>
  <c r="AC36" i="2" s="1"/>
  <c r="AE36" i="2" s="1"/>
  <c r="AC235" i="2" a="1"/>
  <c r="AC235" i="2" s="1"/>
  <c r="AE235" i="2" s="1"/>
  <c r="AC241" i="2" a="1"/>
  <c r="AC241" i="2" s="1"/>
  <c r="AE241" i="2" s="1"/>
  <c r="AB215" i="2"/>
  <c r="AE215" i="2"/>
  <c r="AA86" i="2" a="1"/>
  <c r="AA86" i="2" s="1"/>
  <c r="AB86" i="2" s="1"/>
  <c r="AE173" i="2"/>
  <c r="AA218" i="2" a="1"/>
  <c r="AA218" i="2" s="1"/>
  <c r="AB218" i="2" s="1"/>
  <c r="AE91" i="2"/>
  <c r="AE9" i="2"/>
  <c r="AD71" i="2" a="1"/>
  <c r="AD71" i="2" s="1"/>
  <c r="AE71" i="2" s="1"/>
  <c r="AD187" i="2" a="1"/>
  <c r="AD187" i="2" s="1"/>
  <c r="AE187" i="2" s="1"/>
  <c r="AC218" i="2" a="1"/>
  <c r="AC218" i="2" s="1"/>
  <c r="AE218" i="2" s="1"/>
  <c r="AA164" i="2" a="1"/>
  <c r="AA164" i="2" s="1"/>
  <c r="AB164" i="2" s="1"/>
  <c r="AA40" i="2" a="1"/>
  <c r="AA40" i="2" s="1"/>
  <c r="AB40" i="2" s="1"/>
  <c r="AA45" i="2" a="1"/>
  <c r="AA45" i="2" s="1"/>
  <c r="AB45" i="2" s="1"/>
  <c r="AA74" i="2" a="1"/>
  <c r="AA74" i="2" s="1"/>
  <c r="AB74" i="2" s="1"/>
  <c r="AA41" i="2" a="1"/>
  <c r="AA41" i="2" s="1"/>
  <c r="AB41" i="2" s="1"/>
  <c r="AC186" i="2" a="1"/>
  <c r="AC186" i="2" s="1"/>
  <c r="AC45" i="2" a="1"/>
  <c r="AC45" i="2" s="1"/>
  <c r="AC74" i="2" a="1"/>
  <c r="AC74" i="2" s="1"/>
  <c r="AE74" i="2" s="1"/>
  <c r="AC40" i="2" a="1"/>
  <c r="AC40" i="2" s="1"/>
  <c r="AE40" i="2" s="1"/>
  <c r="AE214" i="2"/>
  <c r="AC41" i="2" a="1"/>
  <c r="AC41" i="2" s="1"/>
  <c r="AE41" i="2" s="1"/>
  <c r="AA71" i="2" a="1"/>
  <c r="AA71" i="2" s="1"/>
  <c r="AB71" i="2" s="1"/>
  <c r="AD186" i="2" a="1"/>
  <c r="AD186" i="2" s="1"/>
  <c r="AD82" i="2" a="1"/>
  <c r="AD82" i="2" s="1"/>
  <c r="AC82" i="2" a="1"/>
  <c r="AC82" i="2" s="1"/>
  <c r="AA82" i="2" a="1"/>
  <c r="AA82" i="2" s="1"/>
  <c r="AB82" i="2" s="1"/>
  <c r="AD244" i="2" a="1"/>
  <c r="AD244" i="2" s="1"/>
  <c r="AC244" i="2" a="1"/>
  <c r="AC244" i="2" s="1"/>
  <c r="AA244" i="2" a="1"/>
  <c r="AA244" i="2" s="1"/>
  <c r="AB244" i="2" s="1"/>
  <c r="AD38" i="2" a="1"/>
  <c r="AD38" i="2" s="1"/>
  <c r="AC38" i="2" a="1"/>
  <c r="AC38" i="2" s="1"/>
  <c r="AA38" i="2" a="1"/>
  <c r="AA38" i="2" s="1"/>
  <c r="AB38" i="2" s="1"/>
  <c r="AD31" i="2" a="1"/>
  <c r="AD31" i="2" s="1"/>
  <c r="AC31" i="2" a="1"/>
  <c r="AC31" i="2" s="1"/>
  <c r="AA31" i="2" a="1"/>
  <c r="AA31" i="2" s="1"/>
  <c r="AB31" i="2" s="1"/>
  <c r="AD29" i="2" a="1"/>
  <c r="AD29" i="2" s="1"/>
  <c r="AC29" i="2" a="1"/>
  <c r="AC29" i="2" s="1"/>
  <c r="AA29" i="2" a="1"/>
  <c r="AA29" i="2" s="1"/>
  <c r="AB29" i="2" s="1"/>
  <c r="AD158" i="2" a="1"/>
  <c r="AD158" i="2" s="1"/>
  <c r="AC158" i="2" a="1"/>
  <c r="AC158" i="2" s="1"/>
  <c r="AA158" i="2" a="1"/>
  <c r="AA158" i="2" s="1"/>
  <c r="AB158" i="2" s="1"/>
  <c r="AD153" i="2" a="1"/>
  <c r="AD153" i="2" s="1"/>
  <c r="AA153" i="2" a="1"/>
  <c r="AA153" i="2" s="1"/>
  <c r="AC153" i="2" a="1"/>
  <c r="AC153" i="2" s="1"/>
  <c r="AC110" i="2" a="1"/>
  <c r="AC110" i="2" s="1"/>
  <c r="AA110" i="2" a="1"/>
  <c r="AA110" i="2" s="1"/>
  <c r="AD110" i="2" a="1"/>
  <c r="AD110" i="2" s="1"/>
  <c r="AD163" i="2" a="1"/>
  <c r="AD163" i="2" s="1"/>
  <c r="AC163" i="2" a="1"/>
  <c r="AC163" i="2" s="1"/>
  <c r="AA163" i="2" a="1"/>
  <c r="AA163" i="2" s="1"/>
  <c r="AB163" i="2" s="1"/>
  <c r="AC37" i="2" a="1"/>
  <c r="AC37" i="2" s="1"/>
  <c r="AD37" i="2" a="1"/>
  <c r="AD37" i="2" s="1"/>
  <c r="AA37" i="2" a="1"/>
  <c r="AA37" i="2" s="1"/>
  <c r="AB37" i="2" s="1"/>
  <c r="AA116" i="2" a="1"/>
  <c r="AA116" i="2" s="1"/>
  <c r="AB116" i="2" s="1"/>
  <c r="AD116" i="2" a="1"/>
  <c r="AD116" i="2" s="1"/>
  <c r="AC116" i="2" a="1"/>
  <c r="AC116" i="2" s="1"/>
  <c r="AD70" i="2" a="1"/>
  <c r="AD70" i="2" s="1"/>
  <c r="AC70" i="2" a="1"/>
  <c r="AC70" i="2" s="1"/>
  <c r="AE70" i="2" s="1"/>
  <c r="AA70" i="2" a="1"/>
  <c r="AA70" i="2" s="1"/>
  <c r="AB70" i="2" s="1"/>
  <c r="AC69" i="2" a="1"/>
  <c r="AC69" i="2" s="1"/>
  <c r="AA69" i="2" a="1"/>
  <c r="AA69" i="2" s="1"/>
  <c r="AB69" i="2" s="1"/>
  <c r="AD69" i="2" a="1"/>
  <c r="AD69" i="2" s="1"/>
  <c r="AD32" i="2" a="1"/>
  <c r="AD32" i="2" s="1"/>
  <c r="AA32" i="2" a="1"/>
  <c r="AA32" i="2" s="1"/>
  <c r="AB32" i="2" s="1"/>
  <c r="AC32" i="2" a="1"/>
  <c r="AC32" i="2" s="1"/>
  <c r="AE68" i="2"/>
  <c r="AA78" i="2" a="1"/>
  <c r="AA78" i="2" s="1"/>
  <c r="AB78" i="2" s="1"/>
  <c r="AD78" i="2" a="1"/>
  <c r="AD78" i="2" s="1"/>
  <c r="AC78" i="2" a="1"/>
  <c r="AC78" i="2" s="1"/>
  <c r="AC191" i="2" a="1"/>
  <c r="AC191" i="2" s="1"/>
  <c r="AD191" i="2" a="1"/>
  <c r="AD191" i="2" s="1"/>
  <c r="AA191" i="2" a="1"/>
  <c r="AA191" i="2" s="1"/>
  <c r="AB191" i="2" s="1"/>
  <c r="AD190" i="2" a="1"/>
  <c r="AD190" i="2" s="1"/>
  <c r="AC190" i="2" a="1"/>
  <c r="AC190" i="2" s="1"/>
  <c r="AA190" i="2" a="1"/>
  <c r="AA190" i="2" s="1"/>
  <c r="AB190" i="2" s="1"/>
  <c r="AA189" i="2" a="1"/>
  <c r="AA189" i="2" s="1"/>
  <c r="AB189" i="2" s="1"/>
  <c r="AD189" i="2" a="1"/>
  <c r="AD189" i="2" s="1"/>
  <c r="AC189" i="2" a="1"/>
  <c r="AC189" i="2" s="1"/>
  <c r="AA149" i="2" a="1"/>
  <c r="AA149" i="2" s="1"/>
  <c r="AB149" i="2" s="1"/>
  <c r="AD149" i="2" a="1"/>
  <c r="AD149" i="2" s="1"/>
  <c r="AC149" i="2" a="1"/>
  <c r="AC149" i="2" s="1"/>
  <c r="AD67" i="2" a="1"/>
  <c r="AD67" i="2" s="1"/>
  <c r="AC67" i="2" a="1"/>
  <c r="AC67" i="2" s="1"/>
  <c r="AA67" i="2" a="1"/>
  <c r="AA67" i="2" s="1"/>
  <c r="AB67" i="2" s="1"/>
  <c r="AC25" i="2" a="1"/>
  <c r="AC25" i="2" s="1"/>
  <c r="AD25" i="2" a="1"/>
  <c r="AD25" i="2" s="1"/>
  <c r="AA25" i="2" a="1"/>
  <c r="AA25" i="2" s="1"/>
  <c r="AB25" i="2" s="1"/>
  <c r="AD157" i="2" a="1"/>
  <c r="AD157" i="2" s="1"/>
  <c r="AC157" i="2" a="1"/>
  <c r="AC157" i="2" s="1"/>
  <c r="AA157" i="2" a="1"/>
  <c r="AA157" i="2" s="1"/>
  <c r="AB157" i="2" s="1"/>
  <c r="AA148" i="2" a="1"/>
  <c r="AA148" i="2" s="1"/>
  <c r="AB148" i="2" s="1"/>
  <c r="AD148" i="2" a="1"/>
  <c r="AD148" i="2" s="1"/>
  <c r="AC148" i="2" a="1"/>
  <c r="AC148" i="2" s="1"/>
  <c r="AE148" i="2" s="1"/>
  <c r="AC66" i="2" a="1"/>
  <c r="AC66" i="2" s="1"/>
  <c r="AD66" i="2" a="1"/>
  <c r="AD66" i="2" s="1"/>
  <c r="AA66" i="2" a="1"/>
  <c r="AA66" i="2" s="1"/>
  <c r="AB66" i="2" s="1"/>
  <c r="AC84" i="2" a="1"/>
  <c r="AC84" i="2" s="1"/>
  <c r="AD84" i="2" a="1"/>
  <c r="AD84" i="2" s="1"/>
  <c r="AA84" i="2" a="1"/>
  <c r="AA84" i="2" s="1"/>
  <c r="AB84" i="2" s="1"/>
  <c r="AD117" i="2" a="1"/>
  <c r="AD117" i="2" s="1"/>
  <c r="AC117" i="2" a="1"/>
  <c r="AC117" i="2" s="1"/>
  <c r="AA117" i="2" a="1"/>
  <c r="AA117" i="2" s="1"/>
  <c r="AB117" i="2" s="1"/>
  <c r="AC125" i="2" a="1"/>
  <c r="AC125" i="2" s="1"/>
  <c r="AA125" i="2" a="1"/>
  <c r="AA125" i="2" s="1"/>
  <c r="AB125" i="2" s="1"/>
  <c r="AD125" i="2" a="1"/>
  <c r="AD125" i="2" s="1"/>
  <c r="AD206" i="2" a="1"/>
  <c r="AD206" i="2" s="1"/>
  <c r="AC206" i="2" a="1"/>
  <c r="AC206" i="2" s="1"/>
  <c r="AA206" i="2" a="1"/>
  <c r="AA206" i="2" s="1"/>
  <c r="AB206" i="2" s="1"/>
  <c r="AD146" i="2" a="1"/>
  <c r="AD146" i="2" s="1"/>
  <c r="AA146" i="2" a="1"/>
  <c r="AA146" i="2" s="1"/>
  <c r="AB146" i="2" s="1"/>
  <c r="AC146" i="2" a="1"/>
  <c r="AC146" i="2" s="1"/>
  <c r="AE64" i="2"/>
  <c r="AD227" i="2" a="1"/>
  <c r="AD227" i="2" s="1"/>
  <c r="AC227" i="2" a="1"/>
  <c r="AC227" i="2" s="1"/>
  <c r="AE227" i="2" s="1"/>
  <c r="AA227" i="2" a="1"/>
  <c r="AA227" i="2" s="1"/>
  <c r="AB227" i="2" s="1"/>
  <c r="AC63" i="2" a="1"/>
  <c r="AC63" i="2" s="1"/>
  <c r="AA63" i="2" a="1"/>
  <c r="AA63" i="2" s="1"/>
  <c r="AB63" i="2" s="1"/>
  <c r="AD63" i="2" a="1"/>
  <c r="AD63" i="2" s="1"/>
  <c r="AD240" i="2" a="1"/>
  <c r="AD240" i="2" s="1"/>
  <c r="AC240" i="2" a="1"/>
  <c r="AC240" i="2" s="1"/>
  <c r="AA240" i="2" a="1"/>
  <c r="AA240" i="2" s="1"/>
  <c r="AB240" i="2" s="1"/>
  <c r="AC198" i="2" a="1"/>
  <c r="AC198" i="2" s="1"/>
  <c r="AA198" i="2" a="1"/>
  <c r="AA198" i="2" s="1"/>
  <c r="AB198" i="2" s="1"/>
  <c r="AD198" i="2" a="1"/>
  <c r="AD198" i="2" s="1"/>
  <c r="AA226" i="2" a="1"/>
  <c r="AA226" i="2" s="1"/>
  <c r="AB226" i="2" s="1"/>
  <c r="AD226" i="2" a="1"/>
  <c r="AD226" i="2" s="1"/>
  <c r="AC226" i="2" a="1"/>
  <c r="AC226" i="2" s="1"/>
  <c r="AE226" i="2" s="1"/>
  <c r="AC185" i="2" a="1"/>
  <c r="AC185" i="2" s="1"/>
  <c r="AD185" i="2" a="1"/>
  <c r="AD185" i="2" s="1"/>
  <c r="AA185" i="2" a="1"/>
  <c r="AA185" i="2" s="1"/>
  <c r="AB185" i="2" s="1"/>
  <c r="AD144" i="2" a="1"/>
  <c r="AD144" i="2" s="1"/>
  <c r="AC144" i="2" a="1"/>
  <c r="AC144" i="2" s="1"/>
  <c r="AA144" i="2" a="1"/>
  <c r="AA144" i="2" s="1"/>
  <c r="AB144" i="2" s="1"/>
  <c r="AD62" i="2" a="1"/>
  <c r="AD62" i="2" s="1"/>
  <c r="AC62" i="2" a="1"/>
  <c r="AC62" i="2" s="1"/>
  <c r="AE62" i="2" s="1"/>
  <c r="AA62" i="2" a="1"/>
  <c r="AA62" i="2" s="1"/>
  <c r="AB62" i="2" s="1"/>
  <c r="AC21" i="2" a="1"/>
  <c r="AC21" i="2" s="1"/>
  <c r="AA21" i="2" a="1"/>
  <c r="AA21" i="2" s="1"/>
  <c r="AB21" i="2" s="1"/>
  <c r="AD21" i="2" a="1"/>
  <c r="AD21" i="2" s="1"/>
  <c r="AD34" i="2" a="1"/>
  <c r="AD34" i="2" s="1"/>
  <c r="AC34" i="2" a="1"/>
  <c r="AC34" i="2" s="1"/>
  <c r="AA34" i="2" a="1"/>
  <c r="AA34" i="2" s="1"/>
  <c r="AB34" i="2" s="1"/>
  <c r="AD194" i="2" a="1"/>
  <c r="AD194" i="2" s="1"/>
  <c r="AC194" i="2" a="1"/>
  <c r="AC194" i="2" s="1"/>
  <c r="AA194" i="2" a="1"/>
  <c r="AA194" i="2" s="1"/>
  <c r="AC143" i="2" a="1"/>
  <c r="AC143" i="2" s="1"/>
  <c r="AA143" i="2" a="1"/>
  <c r="AA143" i="2" s="1"/>
  <c r="AB143" i="2" s="1"/>
  <c r="AD143" i="2" a="1"/>
  <c r="AD143" i="2" s="1"/>
  <c r="AD61" i="2" a="1"/>
  <c r="AD61" i="2" s="1"/>
  <c r="AC61" i="2" a="1"/>
  <c r="AC61" i="2" s="1"/>
  <c r="AA61" i="2" a="1"/>
  <c r="AA61" i="2" s="1"/>
  <c r="AB61" i="2" s="1"/>
  <c r="AA20" i="2" a="1"/>
  <c r="AA20" i="2" s="1"/>
  <c r="AB20" i="2" s="1"/>
  <c r="AD20" i="2" a="1"/>
  <c r="AD20" i="2" s="1"/>
  <c r="AC20" i="2" a="1"/>
  <c r="AC20" i="2" s="1"/>
  <c r="AE20" i="2" s="1"/>
  <c r="AA46" i="2" a="1"/>
  <c r="AA46" i="2" s="1"/>
  <c r="AB46" i="2" s="1"/>
  <c r="AD46" i="2" a="1"/>
  <c r="AD46" i="2" s="1"/>
  <c r="AC46" i="2" a="1"/>
  <c r="AC46" i="2" s="1"/>
  <c r="AE46" i="2" s="1"/>
  <c r="AA208" i="2" a="1"/>
  <c r="AA208" i="2" s="1"/>
  <c r="AB208" i="2" s="1"/>
  <c r="AD208" i="2" a="1"/>
  <c r="AD208" i="2" s="1"/>
  <c r="AC208" i="2" a="1"/>
  <c r="AC208" i="2" s="1"/>
  <c r="AC102" i="2" a="1"/>
  <c r="AC102" i="2" s="1"/>
  <c r="AD102" i="2" a="1"/>
  <c r="AD102" i="2" s="1"/>
  <c r="AA102" i="2" a="1"/>
  <c r="AA102" i="2" s="1"/>
  <c r="AB102" i="2" s="1"/>
  <c r="AA101" i="2" a="1"/>
  <c r="AA101" i="2" s="1"/>
  <c r="AB101" i="2" s="1"/>
  <c r="AC101" i="2" a="1"/>
  <c r="AC101" i="2" s="1"/>
  <c r="AD101" i="2" a="1"/>
  <c r="AD101" i="2" s="1"/>
  <c r="AC18" i="2" a="1"/>
  <c r="AC18" i="2" s="1"/>
  <c r="AD18" i="2" a="1"/>
  <c r="AD18" i="2" s="1"/>
  <c r="AA18" i="2" a="1"/>
  <c r="AA18" i="2" s="1"/>
  <c r="AB18" i="2" s="1"/>
  <c r="AC165" i="2" a="1"/>
  <c r="AC165" i="2" s="1"/>
  <c r="AD165" i="2" a="1"/>
  <c r="AD165" i="2" s="1"/>
  <c r="AA165" i="2" a="1"/>
  <c r="AA165" i="2" s="1"/>
  <c r="AB165" i="2" s="1"/>
  <c r="AD197" i="2" a="1"/>
  <c r="AD197" i="2" s="1"/>
  <c r="AC197" i="2" a="1"/>
  <c r="AC197" i="2" s="1"/>
  <c r="AA197" i="2" a="1"/>
  <c r="AA197" i="2" s="1"/>
  <c r="AB197" i="2" s="1"/>
  <c r="AC79" i="2" a="1"/>
  <c r="AC79" i="2" s="1"/>
  <c r="AD79" i="2" a="1"/>
  <c r="AD79" i="2" s="1"/>
  <c r="AA79" i="2" a="1"/>
  <c r="AA79" i="2" s="1"/>
  <c r="AB79" i="2" s="1"/>
  <c r="AD35" i="2" a="1"/>
  <c r="AD35" i="2" s="1"/>
  <c r="AA35" i="2" a="1"/>
  <c r="AA35" i="2" s="1"/>
  <c r="AB35" i="2" s="1"/>
  <c r="AC35" i="2" a="1"/>
  <c r="AC35" i="2" s="1"/>
  <c r="AD181" i="2" a="1"/>
  <c r="AD181" i="2" s="1"/>
  <c r="AC181" i="2" a="1"/>
  <c r="AC181" i="2" s="1"/>
  <c r="AA181" i="2" a="1"/>
  <c r="AA181" i="2" s="1"/>
  <c r="AB181" i="2" s="1"/>
  <c r="AC99" i="2" a="1"/>
  <c r="AC99" i="2" s="1"/>
  <c r="AA99" i="2" a="1"/>
  <c r="AA99" i="2" s="1"/>
  <c r="AB99" i="2" s="1"/>
  <c r="AD99" i="2" a="1"/>
  <c r="AD99" i="2" s="1"/>
  <c r="AD16" i="2" a="1"/>
  <c r="AD16" i="2" s="1"/>
  <c r="AC16" i="2" a="1"/>
  <c r="AC16" i="2" s="1"/>
  <c r="AE16" i="2" s="1"/>
  <c r="AA16" i="2" a="1"/>
  <c r="AA16" i="2" s="1"/>
  <c r="AB16" i="2" s="1"/>
  <c r="AD98" i="2" a="1"/>
  <c r="AD98" i="2" s="1"/>
  <c r="AC98" i="2" a="1"/>
  <c r="AC98" i="2" s="1"/>
  <c r="AA98" i="2" a="1"/>
  <c r="AA98" i="2" s="1"/>
  <c r="AB98" i="2" s="1"/>
  <c r="AD57" i="2" a="1"/>
  <c r="AD57" i="2" s="1"/>
  <c r="AC57" i="2" a="1"/>
  <c r="AC57" i="2" s="1"/>
  <c r="AA57" i="2" a="1"/>
  <c r="AA57" i="2" s="1"/>
  <c r="AB57" i="2" s="1"/>
  <c r="AD15" i="2" a="1"/>
  <c r="AD15" i="2" s="1"/>
  <c r="AC15" i="2" a="1"/>
  <c r="AC15" i="2" s="1"/>
  <c r="AA15" i="2" a="1"/>
  <c r="AA15" i="2" s="1"/>
  <c r="AB15" i="2" s="1"/>
  <c r="AC166" i="2" a="1"/>
  <c r="AC166" i="2" s="1"/>
  <c r="AD166" i="2" a="1"/>
  <c r="AD166" i="2" s="1"/>
  <c r="AA166" i="2" a="1"/>
  <c r="AA166" i="2" s="1"/>
  <c r="AB166" i="2" s="1"/>
  <c r="AD238" i="2" a="1"/>
  <c r="AD238" i="2" s="1"/>
  <c r="AC238" i="2" a="1"/>
  <c r="AC238" i="2" s="1"/>
  <c r="AA238" i="2" a="1"/>
  <c r="AA238" i="2" s="1"/>
  <c r="AB238" i="2" s="1"/>
  <c r="AC30" i="2" a="1"/>
  <c r="AC30" i="2" s="1"/>
  <c r="AE30" i="2" s="1"/>
  <c r="AD30" i="2" a="1"/>
  <c r="AD30" i="2" s="1"/>
  <c r="AA30" i="2" a="1"/>
  <c r="AA30" i="2" s="1"/>
  <c r="AB30" i="2" s="1"/>
  <c r="AD14" i="2" a="1"/>
  <c r="AD14" i="2" s="1"/>
  <c r="AC14" i="2" a="1"/>
  <c r="AC14" i="2" s="1"/>
  <c r="AE14" i="2" s="1"/>
  <c r="AA14" i="2" a="1"/>
  <c r="AA14" i="2" s="1"/>
  <c r="AB14" i="2" s="1"/>
  <c r="AD127" i="2" a="1"/>
  <c r="AD127" i="2" s="1"/>
  <c r="AA127" i="2" a="1"/>
  <c r="AA127" i="2" s="1"/>
  <c r="AB127" i="2" s="1"/>
  <c r="AC127" i="2" a="1"/>
  <c r="AC127" i="2" s="1"/>
  <c r="AE127" i="2" s="1"/>
  <c r="AD13" i="2" a="1"/>
  <c r="AD13" i="2" s="1"/>
  <c r="AC13" i="2" a="1"/>
  <c r="AC13" i="2" s="1"/>
  <c r="AA13" i="2" a="1"/>
  <c r="AA13" i="2" s="1"/>
  <c r="AB13" i="2" s="1"/>
  <c r="AD85" i="2" a="1"/>
  <c r="AD85" i="2" s="1"/>
  <c r="AC85" i="2" a="1"/>
  <c r="AC85" i="2" s="1"/>
  <c r="AE85" i="2" s="1"/>
  <c r="AA85" i="2" a="1"/>
  <c r="AA85" i="2" s="1"/>
  <c r="AB85" i="2" s="1"/>
  <c r="AA126" i="2" a="1"/>
  <c r="AA126" i="2" s="1"/>
  <c r="AB126" i="2" s="1"/>
  <c r="AD126" i="2" a="1"/>
  <c r="AD126" i="2" s="1"/>
  <c r="AC126" i="2" a="1"/>
  <c r="AC126" i="2" s="1"/>
  <c r="AA80" i="2" a="1"/>
  <c r="AA80" i="2" s="1"/>
  <c r="AB80" i="2" s="1"/>
  <c r="AD80" i="2" a="1"/>
  <c r="AD80" i="2" s="1"/>
  <c r="AC80" i="2" a="1"/>
  <c r="AC80" i="2" s="1"/>
  <c r="AD95" i="2" a="1"/>
  <c r="AD95" i="2" s="1"/>
  <c r="AC95" i="2" a="1"/>
  <c r="AC95" i="2" s="1"/>
  <c r="AA95" i="2" a="1"/>
  <c r="AA95" i="2" s="1"/>
  <c r="AB95" i="2" s="1"/>
  <c r="AD239" i="2" a="1"/>
  <c r="AD239" i="2" s="1"/>
  <c r="AC239" i="2" a="1"/>
  <c r="AC239" i="2" s="1"/>
  <c r="AA239" i="2" a="1"/>
  <c r="AA239" i="2" s="1"/>
  <c r="AB239" i="2" s="1"/>
  <c r="AC114" i="2" a="1"/>
  <c r="AC114" i="2" s="1"/>
  <c r="AD114" i="2" a="1"/>
  <c r="AD114" i="2" s="1"/>
  <c r="AA114" i="2" a="1"/>
  <c r="AA114" i="2" s="1"/>
  <c r="AB114" i="2" s="1"/>
  <c r="AE65" i="2"/>
  <c r="AD217" i="2" a="1"/>
  <c r="AD217" i="2" s="1"/>
  <c r="AC217" i="2" a="1"/>
  <c r="AC217" i="2" s="1"/>
  <c r="AA217" i="2" a="1"/>
  <c r="AA217" i="2" s="1"/>
  <c r="AB217" i="2" s="1"/>
  <c r="AD176" i="2" a="1"/>
  <c r="AD176" i="2" s="1"/>
  <c r="AC176" i="2" a="1"/>
  <c r="AC176" i="2" s="1"/>
  <c r="AA176" i="2" a="1"/>
  <c r="AA176" i="2" s="1"/>
  <c r="AB176" i="2" s="1"/>
  <c r="AC94" i="2" a="1"/>
  <c r="AC94" i="2" s="1"/>
  <c r="AD94" i="2" a="1"/>
  <c r="AD94" i="2" s="1"/>
  <c r="AA94" i="2" a="1"/>
  <c r="AA94" i="2" s="1"/>
  <c r="AB94" i="2" s="1"/>
  <c r="AE216" i="2"/>
  <c r="AC175" i="2" a="1"/>
  <c r="AC175" i="2" s="1"/>
  <c r="AD175" i="2" a="1"/>
  <c r="AD175" i="2" s="1"/>
  <c r="AA175" i="2" a="1"/>
  <c r="AA175" i="2" s="1"/>
  <c r="AB175" i="2" s="1"/>
  <c r="AA93" i="2" a="1"/>
  <c r="AA93" i="2" s="1"/>
  <c r="AB93" i="2" s="1"/>
  <c r="AC93" i="2" a="1"/>
  <c r="AC93" i="2" s="1"/>
  <c r="AD93" i="2" a="1"/>
  <c r="AD93" i="2" s="1"/>
  <c r="AA53" i="2" a="1"/>
  <c r="AA53" i="2" s="1"/>
  <c r="AB53" i="2" s="1"/>
  <c r="AD53" i="2" a="1"/>
  <c r="AD53" i="2" s="1"/>
  <c r="AC53" i="2" a="1"/>
  <c r="AC53" i="2" s="1"/>
  <c r="AE53" i="2" s="1"/>
  <c r="AD210" i="2" a="1"/>
  <c r="AD210" i="2" s="1"/>
  <c r="AC210" i="2" a="1"/>
  <c r="AC210" i="2" s="1"/>
  <c r="AA210" i="2" a="1"/>
  <c r="AA210" i="2" s="1"/>
  <c r="AB210" i="2" s="1"/>
  <c r="AD52" i="2" a="1"/>
  <c r="AD52" i="2" s="1"/>
  <c r="AC52" i="2" a="1"/>
  <c r="AC52" i="2" s="1"/>
  <c r="AA52" i="2" a="1"/>
  <c r="AA52" i="2" s="1"/>
  <c r="AB52" i="2" s="1"/>
  <c r="AC134" i="2" a="1"/>
  <c r="AC134" i="2" s="1"/>
  <c r="AA134" i="2" a="1"/>
  <c r="AA134" i="2" s="1"/>
  <c r="AB134" i="2" s="1"/>
  <c r="AD134" i="2" a="1"/>
  <c r="AD134" i="2" s="1"/>
  <c r="AC162" i="2" a="1"/>
  <c r="AC162" i="2" s="1"/>
  <c r="AA162" i="2" a="1"/>
  <c r="AA162" i="2" s="1"/>
  <c r="AB162" i="2" s="1"/>
  <c r="AD162" i="2" a="1"/>
  <c r="AD162" i="2" s="1"/>
  <c r="AC111" i="2" a="1"/>
  <c r="AC111" i="2" s="1"/>
  <c r="AD111" i="2" a="1"/>
  <c r="AD111" i="2" s="1"/>
  <c r="AA111" i="2" a="1"/>
  <c r="AA111" i="2" s="1"/>
  <c r="AB111" i="2" s="1"/>
  <c r="AD207" i="2" a="1"/>
  <c r="AD207" i="2" s="1"/>
  <c r="AC207" i="2" a="1"/>
  <c r="AC207" i="2" s="1"/>
  <c r="AA207" i="2" a="1"/>
  <c r="AA207" i="2" s="1"/>
  <c r="AB207" i="2" s="1"/>
  <c r="AD142" i="2" a="1"/>
  <c r="AD142" i="2" s="1"/>
  <c r="AC142" i="2" a="1"/>
  <c r="AC142" i="2" s="1"/>
  <c r="AA142" i="2" a="1"/>
  <c r="AA142" i="2" s="1"/>
  <c r="AB142" i="2" s="1"/>
  <c r="AD50" i="2" a="1"/>
  <c r="AD50" i="2" s="1"/>
  <c r="AC50" i="2" a="1"/>
  <c r="AC50" i="2" s="1"/>
  <c r="AA50" i="2" a="1"/>
  <c r="AA50" i="2" s="1"/>
  <c r="AB50" i="2" s="1"/>
  <c r="AD121" i="2" a="1"/>
  <c r="AD121" i="2" s="1"/>
  <c r="AC121" i="2" a="1"/>
  <c r="AC121" i="2" s="1"/>
  <c r="AA121" i="2" a="1"/>
  <c r="AA121" i="2" s="1"/>
  <c r="AB121" i="2" s="1"/>
  <c r="AA242" i="2" a="1"/>
  <c r="AA242" i="2" s="1"/>
  <c r="AB242" i="2" s="1"/>
  <c r="AD242" i="2" a="1"/>
  <c r="AD242" i="2" s="1"/>
  <c r="AC242" i="2" a="1"/>
  <c r="AC242" i="2" s="1"/>
  <c r="AC112" i="2" a="1"/>
  <c r="AC112" i="2" s="1"/>
  <c r="AA112" i="2" a="1"/>
  <c r="AA112" i="2" s="1"/>
  <c r="AB112" i="2" s="1"/>
  <c r="AD112" i="2" a="1"/>
  <c r="AD112" i="2" s="1"/>
  <c r="AC230" i="2" a="1"/>
  <c r="AC230" i="2" s="1"/>
  <c r="AD230" i="2" a="1"/>
  <c r="AD230" i="2" s="1"/>
  <c r="AA230" i="2" a="1"/>
  <c r="AA230" i="2" s="1"/>
  <c r="AB230" i="2" s="1"/>
  <c r="AC133" i="2" a="1"/>
  <c r="AC133" i="2" s="1"/>
  <c r="AD133" i="2" a="1"/>
  <c r="AD133" i="2" s="1"/>
  <c r="AA133" i="2" a="1"/>
  <c r="AA133" i="2" s="1"/>
  <c r="AB133" i="2" s="1"/>
  <c r="AA213" i="2" a="1"/>
  <c r="AA213" i="2" s="1"/>
  <c r="AB213" i="2" s="1"/>
  <c r="AD213" i="2" a="1"/>
  <c r="AD213" i="2" s="1"/>
  <c r="AC213" i="2" a="1"/>
  <c r="AC213" i="2" s="1"/>
  <c r="AD131" i="2" a="1"/>
  <c r="AD131" i="2" s="1"/>
  <c r="AC131" i="2" a="1"/>
  <c r="AC131" i="2" s="1"/>
  <c r="AA131" i="2" a="1"/>
  <c r="AA131" i="2" s="1"/>
  <c r="AD229" i="2" a="1"/>
  <c r="AD229" i="2" s="1"/>
  <c r="AC229" i="2" a="1"/>
  <c r="AC229" i="2" s="1"/>
  <c r="AE229" i="2" s="1"/>
  <c r="AA229" i="2" a="1"/>
  <c r="AA229" i="2" s="1"/>
  <c r="AB229" i="2" s="1"/>
  <c r="AD223" i="2" a="1"/>
  <c r="AD223" i="2" s="1"/>
  <c r="AC223" i="2" a="1"/>
  <c r="AC223" i="2" s="1"/>
  <c r="AA223" i="2" a="1"/>
  <c r="AA223" i="2" s="1"/>
  <c r="AB223" i="2" s="1"/>
  <c r="AD222" i="2" a="1"/>
  <c r="AD222" i="2" s="1"/>
  <c r="AC222" i="2" a="1"/>
  <c r="AC222" i="2" s="1"/>
  <c r="AE222" i="2" s="1"/>
  <c r="AA222" i="2" a="1"/>
  <c r="AA222" i="2" s="1"/>
  <c r="AB222" i="2" s="1"/>
  <c r="AD180" i="2" a="1"/>
  <c r="AD180" i="2" s="1"/>
  <c r="AC180" i="2" a="1"/>
  <c r="AC180" i="2" s="1"/>
  <c r="AA180" i="2" a="1"/>
  <c r="AA180" i="2" s="1"/>
  <c r="AB180" i="2" s="1"/>
  <c r="AD174" i="2" a="1"/>
  <c r="AD174" i="2" s="1"/>
  <c r="AC174" i="2" a="1"/>
  <c r="AC174" i="2" s="1"/>
  <c r="AE174" i="2" s="1"/>
  <c r="AA174" i="2" a="1"/>
  <c r="AA174" i="2" s="1"/>
  <c r="AB174" i="2" s="1"/>
  <c r="AD212" i="2" a="1"/>
  <c r="AD212" i="2" s="1"/>
  <c r="AC212" i="2" a="1"/>
  <c r="AC212" i="2" s="1"/>
  <c r="AE212" i="2" s="1"/>
  <c r="AA212" i="2" a="1"/>
  <c r="AA212" i="2" s="1"/>
  <c r="AB212" i="2" s="1"/>
  <c r="AD130" i="2" a="1"/>
  <c r="AD130" i="2" s="1"/>
  <c r="AC130" i="2" a="1"/>
  <c r="AC130" i="2" s="1"/>
  <c r="AA130" i="2" a="1"/>
  <c r="AA130" i="2" s="1"/>
  <c r="AB130" i="2" s="1"/>
  <c r="AA89" i="2" a="1"/>
  <c r="AA89" i="2" s="1"/>
  <c r="AD89" i="2" a="1"/>
  <c r="AD89" i="2" s="1"/>
  <c r="AC89" i="2" a="1"/>
  <c r="AC89" i="2" s="1"/>
  <c r="AC48" i="2" a="1"/>
  <c r="AC48" i="2" s="1"/>
  <c r="AA48" i="2" a="1"/>
  <c r="AA48" i="2" s="1"/>
  <c r="AB48" i="2" s="1"/>
  <c r="AD48" i="2" a="1"/>
  <c r="AD48" i="2" s="1"/>
  <c r="AD159" i="2" a="1"/>
  <c r="AD159" i="2" s="1"/>
  <c r="AC159" i="2" a="1"/>
  <c r="AC159" i="2" s="1"/>
  <c r="AA159" i="2" a="1"/>
  <c r="AA159" i="2" s="1"/>
  <c r="AB159" i="2" s="1"/>
  <c r="AA195" i="2" a="1"/>
  <c r="AA195" i="2" s="1"/>
  <c r="AB195" i="2" s="1"/>
  <c r="AC195" i="2" a="1"/>
  <c r="AC195" i="2" s="1"/>
  <c r="AD195" i="2" a="1"/>
  <c r="AD195" i="2" s="1"/>
  <c r="AC221" i="2" a="1"/>
  <c r="AC221" i="2" s="1"/>
  <c r="AA221" i="2" a="1"/>
  <c r="AA221" i="2" s="1"/>
  <c r="AB221" i="2" s="1"/>
  <c r="AD221" i="2" a="1"/>
  <c r="AD221" i="2" s="1"/>
  <c r="AA178" i="2" a="1"/>
  <c r="AA178" i="2" s="1"/>
  <c r="AB178" i="2" s="1"/>
  <c r="AD178" i="2" a="1"/>
  <c r="AD178" i="2" s="1"/>
  <c r="AC178" i="2" a="1"/>
  <c r="AC178" i="2" s="1"/>
  <c r="AE178" i="2" s="1"/>
  <c r="AD47" i="2" a="1"/>
  <c r="AD47" i="2" s="1"/>
  <c r="AC47" i="2" a="1"/>
  <c r="AC47" i="2" s="1"/>
  <c r="AA47" i="2" a="1"/>
  <c r="AA47" i="2" s="1"/>
  <c r="AC6" i="2" a="1"/>
  <c r="AC6" i="2" s="1"/>
  <c r="AA6" i="2" a="1"/>
  <c r="AA6" i="2" s="1"/>
  <c r="AB6" i="2" s="1"/>
  <c r="AD6" i="2" a="1"/>
  <c r="AD6" i="2" s="1"/>
  <c r="AC77" i="2" a="1"/>
  <c r="AC77" i="2" s="1"/>
  <c r="AE77" i="2" s="1"/>
  <c r="AC113" i="2" a="1"/>
  <c r="AC113" i="2" s="1"/>
  <c r="AE150" i="2"/>
  <c r="AA187" i="2" a="1"/>
  <c r="AA187" i="2" s="1"/>
  <c r="AB187" i="2" s="1"/>
  <c r="AE199" i="2"/>
  <c r="AE7" i="2"/>
  <c r="AE22" i="2"/>
  <c r="AE233" i="2"/>
  <c r="AE51" i="2"/>
  <c r="AA65" i="2" a="1"/>
  <c r="AA65" i="2" s="1"/>
  <c r="AB65" i="2" s="1"/>
  <c r="AC164" i="2" a="1"/>
  <c r="AC164" i="2" s="1"/>
  <c r="AE164" i="2" s="1"/>
  <c r="AE200" i="2"/>
  <c r="AE115" i="2"/>
  <c r="AE152" i="2"/>
  <c r="AC224" i="2" a="1"/>
  <c r="AC224" i="2" s="1"/>
  <c r="AD68" i="2" a="1"/>
  <c r="AD68" i="2" s="1"/>
  <c r="AA81" i="2" a="1"/>
  <c r="AA81" i="2" s="1"/>
  <c r="AB81" i="2" s="1"/>
  <c r="AC179" i="2" a="1"/>
  <c r="AC179" i="2" s="1"/>
  <c r="AE179" i="2" s="1"/>
  <c r="AC203" i="2" a="1"/>
  <c r="AC203" i="2" s="1"/>
  <c r="AA236" i="2" a="1"/>
  <c r="AA236" i="2" s="1"/>
  <c r="AA129" i="2" a="1"/>
  <c r="AA129" i="2" s="1"/>
  <c r="AB129" i="2" s="1"/>
  <c r="AC12" i="2" a="1"/>
  <c r="AC12" i="2" s="1"/>
  <c r="AD27" i="2" a="1"/>
  <c r="AD27" i="2" s="1"/>
  <c r="AE27" i="2" s="1"/>
  <c r="AD236" i="2" a="1"/>
  <c r="AD236" i="2" s="1"/>
  <c r="AE236" i="2" s="1"/>
  <c r="AC155" i="2" a="1"/>
  <c r="AC155" i="2" s="1"/>
  <c r="AD155" i="2" a="1"/>
  <c r="AD155" i="2" s="1"/>
  <c r="AA192" i="2" a="1"/>
  <c r="AA192" i="2" s="1"/>
  <c r="AB192" i="2" s="1"/>
  <c r="AD28" i="2" a="1"/>
  <c r="AD28" i="2" s="1"/>
  <c r="AE28" i="2" s="1"/>
  <c r="AD42" i="2" a="1"/>
  <c r="AD42" i="2" s="1"/>
  <c r="AE42" i="2" s="1"/>
  <c r="AA56" i="2" a="1"/>
  <c r="AA56" i="2" s="1"/>
  <c r="AB56" i="2" s="1"/>
  <c r="AC106" i="2" a="1"/>
  <c r="AC106" i="2" s="1"/>
  <c r="AD12" i="2" a="1"/>
  <c r="AD12" i="2" s="1"/>
  <c r="AA28" i="2" a="1"/>
  <c r="AA28" i="2" s="1"/>
  <c r="AB28" i="2" s="1"/>
  <c r="AA42" i="2" a="1"/>
  <c r="AA42" i="2" s="1"/>
  <c r="AB42" i="2" s="1"/>
  <c r="AA156" i="2" a="1"/>
  <c r="AA156" i="2" s="1"/>
  <c r="AB156" i="2" s="1"/>
  <c r="AC192" i="2" a="1"/>
  <c r="AC192" i="2" s="1"/>
  <c r="AE192" i="2" s="1"/>
  <c r="AA216" i="2" a="1"/>
  <c r="AA216" i="2" s="1"/>
  <c r="AC237" i="2" a="1"/>
  <c r="AC237" i="2" s="1"/>
  <c r="AE237" i="2" s="1"/>
  <c r="AA179" i="2" a="1"/>
  <c r="AA179" i="2" s="1"/>
  <c r="AB179" i="2" s="1"/>
  <c r="AC81" i="2" a="1"/>
  <c r="AC81" i="2" s="1"/>
  <c r="AE81" i="2" s="1"/>
  <c r="AA204" i="2" a="1"/>
  <c r="AA204" i="2" s="1"/>
  <c r="AB204" i="2" s="1"/>
  <c r="AA237" i="2" a="1"/>
  <c r="AA237" i="2" s="1"/>
  <c r="AB237" i="2" s="1"/>
  <c r="AC56" i="2" a="1"/>
  <c r="AC56" i="2" s="1"/>
  <c r="AE56" i="2" s="1"/>
  <c r="AA119" i="2" a="1"/>
  <c r="AA119" i="2" s="1"/>
  <c r="AB119" i="2" s="1"/>
  <c r="AC204" i="2" a="1"/>
  <c r="AC204" i="2" s="1"/>
  <c r="AE204" i="2" s="1"/>
  <c r="AD106" i="2" a="1"/>
  <c r="AD106" i="2" s="1"/>
  <c r="AC129" i="2" a="1"/>
  <c r="AC129" i="2" s="1"/>
  <c r="AE129" i="2" s="1"/>
  <c r="AA68" i="2" a="1"/>
  <c r="AA68" i="2" s="1"/>
  <c r="AA27" i="2" a="1"/>
  <c r="AA27" i="2" s="1"/>
  <c r="AE92" i="2"/>
  <c r="AA225" i="2" a="1"/>
  <c r="AA225" i="2" s="1"/>
  <c r="AB225" i="2" s="1"/>
  <c r="AC225" i="2" a="1"/>
  <c r="AC225" i="2" s="1"/>
  <c r="AE225" i="2" s="1"/>
  <c r="AA83" i="2" a="1"/>
  <c r="AA83" i="2" s="1"/>
  <c r="AB83" i="2" s="1"/>
  <c r="AC119" i="2" a="1"/>
  <c r="AC119" i="2" s="1"/>
  <c r="AE119" i="2" s="1"/>
  <c r="AA132" i="2" a="1"/>
  <c r="AA132" i="2" s="1"/>
  <c r="AB132" i="2" s="1"/>
  <c r="AC156" i="2" a="1"/>
  <c r="AC156" i="2" s="1"/>
  <c r="AE156" i="2" s="1"/>
  <c r="AC132" i="2" a="1"/>
  <c r="AC132" i="2" s="1"/>
  <c r="AE132" i="2" s="1"/>
  <c r="AA193" i="2" a="1"/>
  <c r="AA193" i="2" s="1"/>
  <c r="AB193" i="2" s="1"/>
  <c r="AA205" i="2" a="1"/>
  <c r="AA205" i="2" s="1"/>
  <c r="AB205" i="2" s="1"/>
  <c r="AE107" i="2"/>
  <c r="AA96" i="2" a="1"/>
  <c r="AA96" i="2" s="1"/>
  <c r="AB96" i="2" s="1"/>
  <c r="AC193" i="2" a="1"/>
  <c r="AC193" i="2" s="1"/>
  <c r="AE193" i="2" s="1"/>
  <c r="AA228" i="2" a="1"/>
  <c r="AA228" i="2" s="1"/>
  <c r="AB228" i="2" s="1"/>
  <c r="AE44" i="2"/>
  <c r="AC145" i="2" a="1"/>
  <c r="AC145" i="2" s="1"/>
  <c r="AE145" i="2" s="1"/>
  <c r="AE182" i="2"/>
  <c r="AE228" i="2"/>
  <c r="AE72" i="2"/>
  <c r="AE108" i="2"/>
  <c r="AE45" i="2"/>
  <c r="AA241" i="2" a="1"/>
  <c r="AA241" i="2" s="1"/>
  <c r="AB241" i="2" s="1"/>
  <c r="AE170" i="2"/>
  <c r="AA60" i="2" a="1"/>
  <c r="AA60" i="2" s="1"/>
  <c r="AB60" i="2" s="1"/>
  <c r="AC109" i="2" a="1"/>
  <c r="AC109" i="2" s="1"/>
  <c r="AE109" i="2" s="1"/>
  <c r="AA196" i="2" a="1"/>
  <c r="AA196" i="2" s="1"/>
  <c r="AB196" i="2" s="1"/>
  <c r="AC219" i="2" a="1"/>
  <c r="AC219" i="2" s="1"/>
  <c r="AE219" i="2" s="1"/>
  <c r="AC243" i="2" a="1"/>
  <c r="AC243" i="2" s="1"/>
  <c r="AE243" i="2" s="1"/>
  <c r="AE122" i="2"/>
  <c r="AC60" i="2" a="1"/>
  <c r="AC60" i="2" s="1"/>
  <c r="AE60" i="2" s="1"/>
  <c r="AC147" i="2" a="1"/>
  <c r="AC147" i="2" s="1"/>
  <c r="AE147" i="2" s="1"/>
  <c r="AA33" i="2" a="1"/>
  <c r="AA33" i="2" s="1"/>
  <c r="AB33" i="2" s="1"/>
  <c r="AC160" i="2" a="1"/>
  <c r="AC160" i="2" s="1"/>
  <c r="AD196" i="2" a="1"/>
  <c r="AD196" i="2" s="1"/>
  <c r="AE196" i="2" s="1"/>
  <c r="AD33" i="2" a="1"/>
  <c r="AD33" i="2" s="1"/>
  <c r="AE33" i="2" s="1"/>
  <c r="AA243" i="2" a="1"/>
  <c r="AA243" i="2" s="1"/>
  <c r="AB243" i="2" s="1"/>
  <c r="AC19" i="2" a="1"/>
  <c r="AC19" i="2" s="1"/>
  <c r="AD123" i="2" a="1"/>
  <c r="AD123" i="2" s="1"/>
  <c r="AE123" i="2" s="1"/>
  <c r="AA172" i="2" a="1"/>
  <c r="AA172" i="2" s="1"/>
  <c r="AB172" i="2" s="1"/>
  <c r="AA220" i="2" a="1"/>
  <c r="AA220" i="2" s="1"/>
  <c r="AB220" i="2" s="1"/>
  <c r="AA75" i="2" a="1"/>
  <c r="AA75" i="2" s="1"/>
  <c r="AB75" i="2" s="1"/>
  <c r="AA124" i="2" a="1"/>
  <c r="AA124" i="2" s="1"/>
  <c r="AB124" i="2" s="1"/>
  <c r="AD161" i="2" a="1"/>
  <c r="AD161" i="2" s="1"/>
  <c r="AE161" i="2" s="1"/>
  <c r="AA76" i="2" a="1"/>
  <c r="AA76" i="2" s="1"/>
  <c r="AB76" i="2" s="1"/>
  <c r="AD88" i="2" a="1"/>
  <c r="AD88" i="2" s="1"/>
  <c r="AE88" i="2" s="1"/>
  <c r="AD100" i="2" a="1"/>
  <c r="AD100" i="2" s="1"/>
  <c r="AE100" i="2" s="1"/>
  <c r="AA137" i="2" a="1"/>
  <c r="AA137" i="2" s="1"/>
  <c r="AB137" i="2" s="1"/>
  <c r="AA173" i="2" a="1"/>
  <c r="AA173" i="2" s="1"/>
  <c r="AC209" i="2" a="1"/>
  <c r="AC209" i="2" s="1"/>
  <c r="AA219" i="2" a="1"/>
  <c r="AA219" i="2" s="1"/>
  <c r="AB219" i="2" s="1"/>
  <c r="AE86" i="2"/>
  <c r="AA123" i="2" a="1"/>
  <c r="AA123" i="2" s="1"/>
  <c r="AB123" i="2" s="1"/>
  <c r="AD160" i="2" a="1"/>
  <c r="AD160" i="2" s="1"/>
  <c r="AD19" i="2" a="1"/>
  <c r="AD19" i="2" s="1"/>
  <c r="AA161" i="2" a="1"/>
  <c r="AA161" i="2" s="1"/>
  <c r="AB161" i="2" s="1"/>
  <c r="AA88" i="2" a="1"/>
  <c r="AA88" i="2" s="1"/>
  <c r="AB88" i="2" s="1"/>
  <c r="AD172" i="2" a="1"/>
  <c r="AD172" i="2" s="1"/>
  <c r="AE172" i="2" s="1"/>
  <c r="AD124" i="2" a="1"/>
  <c r="AD124" i="2" s="1"/>
  <c r="AE124" i="2" s="1"/>
  <c r="AC137" i="2" a="1"/>
  <c r="AC137" i="2" s="1"/>
  <c r="AE137" i="2" s="1"/>
  <c r="AD209" i="2" a="1"/>
  <c r="AD209" i="2" s="1"/>
  <c r="AC75" i="2" a="1"/>
  <c r="AC75" i="2" s="1"/>
  <c r="AE75" i="2" s="1"/>
  <c r="AA100" i="2" a="1"/>
  <c r="AA100" i="2" s="1"/>
  <c r="AB100" i="2" s="1"/>
  <c r="AC220" i="2" a="1"/>
  <c r="AC220" i="2" s="1"/>
  <c r="AE220" i="2" s="1"/>
  <c r="AD5" i="2" a="1"/>
  <c r="AD5" i="2" s="1"/>
  <c r="AA5" i="2" a="1"/>
  <c r="AA5" i="2" s="1"/>
  <c r="AC5" i="2" a="1"/>
  <c r="AC5" i="2" s="1"/>
  <c r="AE5" i="2" s="1"/>
  <c r="AF14" i="2"/>
  <c r="AF8" i="2"/>
  <c r="AF11" i="2"/>
  <c r="AF9" i="2"/>
  <c r="AF6" i="2"/>
  <c r="AF16" i="2"/>
  <c r="AF12" i="2"/>
  <c r="AF5" i="2"/>
  <c r="AF15" i="2"/>
  <c r="AF7" i="2"/>
  <c r="AF13" i="2"/>
  <c r="AF10" i="2"/>
  <c r="AE23" i="2"/>
  <c r="AE211" i="2"/>
  <c r="AF18" i="2"/>
  <c r="AG6" i="2" a="1"/>
  <c r="AG11" i="2" a="1"/>
  <c r="AG8" i="2" a="1"/>
  <c r="AG9" i="2" a="1"/>
  <c r="AG5" i="2" a="1"/>
  <c r="AH12" i="2" a="1"/>
  <c r="AG13" i="2" a="1"/>
  <c r="AG10" i="2" a="1"/>
  <c r="AG7" i="2" a="1"/>
  <c r="AG14" i="2" a="1"/>
  <c r="AH15" i="2" a="1"/>
  <c r="AG16" i="2" a="1"/>
  <c r="AG18" i="2" a="1"/>
  <c r="AE105" i="2" l="1"/>
  <c r="AE149" i="2"/>
  <c r="AE159" i="2"/>
  <c r="AE52" i="2"/>
  <c r="AE144" i="2"/>
  <c r="AE58" i="2"/>
  <c r="AE201" i="2"/>
  <c r="AE223" i="2"/>
  <c r="AE176" i="2"/>
  <c r="AE163" i="2"/>
  <c r="AE120" i="2"/>
  <c r="AE121" i="2"/>
  <c r="AE224" i="2"/>
  <c r="AE239" i="2"/>
  <c r="AE39" i="2"/>
  <c r="AE117" i="2"/>
  <c r="AE34" i="2"/>
  <c r="AE232" i="2"/>
  <c r="AE128" i="2"/>
  <c r="AE50" i="2"/>
  <c r="AE61" i="2"/>
  <c r="AE207" i="2"/>
  <c r="AE126" i="2"/>
  <c r="AE195" i="2"/>
  <c r="AE113" i="2"/>
  <c r="AE157" i="2"/>
  <c r="AE197" i="2"/>
  <c r="AE206" i="2"/>
  <c r="AE203" i="2"/>
  <c r="AE78" i="2"/>
  <c r="AE32" i="2"/>
  <c r="AE97" i="2"/>
  <c r="AE184" i="2"/>
  <c r="AE116" i="2"/>
  <c r="AE35" i="2"/>
  <c r="AE146" i="2"/>
  <c r="AE158" i="2"/>
  <c r="AE130" i="2"/>
  <c r="AE125" i="2"/>
  <c r="AE101" i="2"/>
  <c r="AE209" i="2"/>
  <c r="AE95" i="2"/>
  <c r="AE80" i="2"/>
  <c r="AE138" i="2"/>
  <c r="AE183" i="2"/>
  <c r="AE19" i="2"/>
  <c r="AE160" i="2"/>
  <c r="AE106" i="2"/>
  <c r="AE190" i="2"/>
  <c r="AE25" i="2"/>
  <c r="AE142" i="2"/>
  <c r="AE93" i="2"/>
  <c r="AE180" i="2"/>
  <c r="AE47" i="2"/>
  <c r="AE189" i="2"/>
  <c r="AG6" i="2"/>
  <c r="AH12" i="2"/>
  <c r="AG13" i="2"/>
  <c r="AG10" i="2"/>
  <c r="AG11" i="2"/>
  <c r="AG16" i="2"/>
  <c r="AG18" i="2"/>
  <c r="AI18" i="2" s="1"/>
  <c r="AG5" i="2"/>
  <c r="AG7" i="2"/>
  <c r="AH15" i="2"/>
  <c r="AG9" i="2"/>
  <c r="AG14" i="2"/>
  <c r="AG8" i="2"/>
  <c r="AE118" i="2"/>
  <c r="AE96" i="2"/>
  <c r="AE191" i="2"/>
  <c r="AB26" i="2"/>
  <c r="AE104" i="2"/>
  <c r="AE135" i="2"/>
  <c r="AE37" i="2"/>
  <c r="AE188" i="2"/>
  <c r="AE140" i="2"/>
  <c r="AE11" i="2"/>
  <c r="AE131" i="2"/>
  <c r="AE43" i="2"/>
  <c r="AE213" i="2"/>
  <c r="AE54" i="2"/>
  <c r="AE202" i="2"/>
  <c r="AE155" i="2"/>
  <c r="AE205" i="2"/>
  <c r="AE83" i="2"/>
  <c r="AE31" i="2"/>
  <c r="AE15" i="2"/>
  <c r="AE94" i="2"/>
  <c r="AE185" i="2"/>
  <c r="AE242" i="2"/>
  <c r="AE38" i="2"/>
  <c r="AE244" i="2"/>
  <c r="AE49" i="2"/>
  <c r="AE136" i="2"/>
  <c r="AE230" i="2"/>
  <c r="Z5" i="2" a="1"/>
  <c r="Z5" i="2" s="1"/>
  <c r="AE67" i="2"/>
  <c r="AE186" i="2"/>
  <c r="AE55" i="2"/>
  <c r="AE181" i="2"/>
  <c r="AE238" i="2"/>
  <c r="AE134" i="2"/>
  <c r="AE240" i="2"/>
  <c r="AE69" i="2"/>
  <c r="AE89" i="2"/>
  <c r="AE210" i="2"/>
  <c r="AE63" i="2"/>
  <c r="AE79" i="2"/>
  <c r="AE217" i="2"/>
  <c r="AE165" i="2"/>
  <c r="AB110" i="2"/>
  <c r="AB173" i="2"/>
  <c r="AE110" i="2"/>
  <c r="AE18" i="2"/>
  <c r="AE57" i="2"/>
  <c r="AB153" i="2"/>
  <c r="AE153" i="2"/>
  <c r="AE166" i="2"/>
  <c r="AE12" i="2"/>
  <c r="AE194" i="2"/>
  <c r="AE48" i="2"/>
  <c r="AE198" i="2"/>
  <c r="AE162" i="2"/>
  <c r="AE102" i="2"/>
  <c r="AE99" i="2"/>
  <c r="AE114" i="2"/>
  <c r="AE208" i="2"/>
  <c r="AB216" i="2"/>
  <c r="AB131" i="2"/>
  <c r="AE84" i="2"/>
  <c r="AE175" i="2"/>
  <c r="AE29" i="2"/>
  <c r="AE111" i="2"/>
  <c r="AE21" i="2"/>
  <c r="AE98" i="2"/>
  <c r="AE66" i="2"/>
  <c r="AE133" i="2"/>
  <c r="AE13" i="2"/>
  <c r="AE112" i="2"/>
  <c r="AB236" i="2"/>
  <c r="AB89" i="2"/>
  <c r="AB47" i="2"/>
  <c r="AB27" i="2"/>
  <c r="AB68" i="2"/>
  <c r="AE221" i="2"/>
  <c r="AE143" i="2"/>
  <c r="AE82" i="2"/>
  <c r="AE6" i="2"/>
  <c r="AE3" i="2" s="1" a="1"/>
  <c r="AE3" i="2" s="1"/>
  <c r="AB194" i="2"/>
  <c r="AB5" i="2"/>
  <c r="AH14" i="2" a="1"/>
  <c r="AH5" i="2" a="1"/>
  <c r="AH8" i="2" a="1"/>
  <c r="AH13" i="2" a="1"/>
  <c r="AH9" i="2" a="1"/>
  <c r="AH16" i="2" a="1"/>
  <c r="AH10" i="2" a="1"/>
  <c r="AH11" i="2" a="1"/>
  <c r="AH6" i="2" a="1"/>
  <c r="AH7" i="2" a="1"/>
  <c r="AH10" i="2" l="1"/>
  <c r="AH5" i="2"/>
  <c r="AH14" i="2"/>
  <c r="AH13" i="2"/>
  <c r="AH8" i="2"/>
  <c r="AH7" i="2"/>
  <c r="AH9" i="2"/>
  <c r="AH16" i="2"/>
  <c r="AH6" i="2"/>
  <c r="A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tc={0930133A-4CCA-41E2-90B1-C068A4620379}</author>
    <author>tc={A4F0750C-95B4-4C1E-8886-EA3F4D81F8A7}</author>
  </authors>
  <commentList>
    <comment ref="AJ23" authorId="0" shapeId="0" xr:uid="{0930133A-4CCA-41E2-90B1-C068A4620379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Equinor Kristian Ås: October 9, 2025 10:12 AM Sfenv:1.45 for Two failures</t>
      </text>
    </comment>
    <comment ref="AJ27" authorId="1" shapeId="0" xr:uid="{A4F0750C-95B4-4C1E-8886-EA3F4D81F8A7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Equinor Kristian Ås: October 9, 2025 10:12 AM Sfenv:1.45 for Two failures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<sst xmlns="http://schemas.openxmlformats.org/spreadsheetml/2006/main" count="169" uniqueCount="59">
  <si>
    <t>LoadCase#_Seed</t>
  </si>
  <si>
    <t>Mooring Line#1</t>
  </si>
  <si>
    <t>Mooring Line#2</t>
  </si>
  <si>
    <t>Mooring Line#3</t>
  </si>
  <si>
    <t>Mooring Line#4</t>
  </si>
  <si>
    <t>Mooring Line#5</t>
  </si>
  <si>
    <t>Mooring Line#6</t>
  </si>
  <si>
    <t>Mooring Line#7</t>
  </si>
  <si>
    <t>Mooring Line#8</t>
  </si>
  <si>
    <t>Mooring Line#9</t>
  </si>
  <si>
    <t>Mooring Line#10</t>
  </si>
  <si>
    <t>Mooring Line#11</t>
  </si>
  <si>
    <t>Mooring Line#12</t>
  </si>
  <si>
    <t>FXY_TUR [kN]</t>
  </si>
  <si>
    <t>FZ_TUR [kN]</t>
  </si>
  <si>
    <t>XY_TUR [m]</t>
  </si>
  <si>
    <t>X_Pos [m]</t>
  </si>
  <si>
    <t>Z_Pos [m]</t>
  </si>
  <si>
    <t>Roll [°]</t>
  </si>
  <si>
    <t>Pitch [°]</t>
  </si>
  <si>
    <t>YAW [°]</t>
  </si>
  <si>
    <t>Mean</t>
  </si>
  <si>
    <t>Std</t>
  </si>
  <si>
    <t>Min</t>
  </si>
  <si>
    <t>Max</t>
  </si>
  <si>
    <t>C</t>
  </si>
  <si>
    <t>K</t>
  </si>
  <si>
    <t>M</t>
  </si>
  <si>
    <t>O</t>
  </si>
  <si>
    <t>A</t>
  </si>
  <si>
    <t>AA</t>
  </si>
  <si>
    <t>AB</t>
  </si>
  <si>
    <t>WorstLine: kN|kN|kN|-|#</t>
  </si>
  <si>
    <t>2nd Worst: kN|kN|#</t>
  </si>
  <si>
    <t>Fxy kN</t>
  </si>
  <si>
    <t>Fz kN</t>
  </si>
  <si>
    <t>XY m</t>
  </si>
  <si>
    <t>Heading [°]</t>
  </si>
  <si>
    <t>Yaw [°]</t>
  </si>
  <si>
    <t>Fxy</t>
  </si>
  <si>
    <t>Fz</t>
  </si>
  <si>
    <t>XY</t>
  </si>
  <si>
    <t>uf</t>
  </si>
  <si>
    <t>Saf</t>
  </si>
  <si>
    <t>L#</t>
  </si>
  <si>
    <t>Load_Case_ID</t>
  </si>
  <si>
    <t>[kN]</t>
  </si>
  <si>
    <t>[m]</t>
  </si>
  <si>
    <t>Utilization factor</t>
  </si>
  <si>
    <t>-</t>
  </si>
  <si>
    <t>ULS1</t>
  </si>
  <si>
    <t>ALS1</t>
  </si>
  <si>
    <t>ALS2</t>
  </si>
  <si>
    <t>ALS3</t>
  </si>
  <si>
    <t>ULS2</t>
  </si>
  <si>
    <t>ALS4</t>
  </si>
  <si>
    <t>ALS5</t>
  </si>
  <si>
    <t>=INDEX($s$5:$s$16;INT((ROW()-5)/nSD)+1)</t>
  </si>
  <si>
    <t>SIMA!A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</si>
</sst>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9"/>
      <color indexed="81"/>
      <name val="Tahoma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9" tint="0.59996337778862885"/>
        <bgColor indexed="64"/>
      </patternFill>
    </fill>
    <fill>
      <patternFill patternType="solid">
        <fgColor rgb="FFF3F3F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DCDCDC"/>
      </right>
      <top style="medium">
        <color rgb="FFDCDCDC"/>
      </top>
      <bottom/>
      <diagonal/>
    </border>
    <border>
      <left/>
      <right/>
      <top style="medium">
        <color rgb="FFDCDCD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7">
    <xf numFmtId="0" fontId="0" fillId="8" borderId="0"/>
    <xf numFmtId="0" fontId="2" fillId="8" borderId="0"/>
    <xf numFmtId="0" fontId="1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1" fillId="8" borderId="0"/>
    <xf numFmtId="9" fontId="2" fillId="8" borderId="0"/>
    <xf numFmtId="0" fontId="3" fillId="8" borderId="0"/>
    <xf numFmtId="0" fontId="3" fillId="8" borderId="0"/>
    <xf numFmtId="0" fontId="1" fillId="8" borderId="0"/>
    <xf numFmtId="0" fontId="3" fillId="8" borderId="0"/>
    <xf numFmtId="0" fontId="1" fillId="8" borderId="0"/>
    <xf numFmtId="0" fontId="3" fillId="8" borderId="0"/>
    <xf numFmtId="9" fontId="2" fillId="8" borderId="0"/>
    <xf numFmtId="0" fontId="2" fillId="8" borderId="0"/>
  </cellStyleXfs>
  <cellXfs count="56">
    <xf numFmtId="0" fontId="0" fillId="0" borderId="0" xfId="0" applyFill="1"/>
    <xf numFmtId="0" fontId="0" fillId="5" borderId="6" xfId="0" applyFill="1" applyBorder="1" applyAlignment="1" applyProtection="1">
      <alignment horizontal="center" vertical="center"/>
      <protection locked="0"/>
    </xf>
    <xf numFmtId="2" fontId="0" fillId="0" borderId="0" xfId="0" applyNumberFormat="1" applyFill="1"/>
    <xf numFmtId="0" fontId="0" fillId="0" borderId="0" xfId="0" applyFill="1"/>
    <xf numFmtId="0" fontId="2" fillId="8" borderId="7" xfId="1" applyBorder="1"/>
    <xf numFmtId="0" fontId="2" fillId="8" borderId="5" xfId="1" applyBorder="1" applyProtection="1">
      <protection locked="0"/>
    </xf>
    <xf numFmtId="0" fontId="0" fillId="0" borderId="9" xfId="0" applyFill="1" applyBorder="1"/>
    <xf numFmtId="0" fontId="0" fillId="0" borderId="11" xfId="0" applyFill="1" applyBorder="1"/>
    <xf numFmtId="0" fontId="3" fillId="8" borderId="0" xfId="4"/>
    <xf numFmtId="0" fontId="0" fillId="0" borderId="12" xfId="0" applyFill="1" applyBorder="1"/>
    <xf numFmtId="0" fontId="0" fillId="0" borderId="13" xfId="0" applyFill="1" applyBorder="1"/>
    <xf numFmtId="0" fontId="0" fillId="8" borderId="14" xfId="0" applyBorder="1" applyAlignment="1" applyProtection="1">
      <alignment horizontal="center" vertical="center"/>
      <protection locked="0"/>
    </xf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164" fontId="0" fillId="0" borderId="12" xfId="0" applyNumberFormat="1" applyFill="1" applyBorder="1"/>
    <xf numFmtId="164" fontId="0" fillId="0" borderId="13" xfId="0" applyNumberFormat="1" applyFill="1" applyBorder="1"/>
    <xf numFmtId="164" fontId="0" fillId="0" borderId="9" xfId="0" applyNumberFormat="1" applyFill="1" applyBorder="1"/>
    <xf numFmtId="164" fontId="0" fillId="0" borderId="16" xfId="0" applyNumberFormat="1" applyFill="1" applyBorder="1"/>
    <xf numFmtId="164" fontId="0" fillId="0" borderId="0" xfId="0" applyNumberFormat="1" applyFill="1"/>
    <xf numFmtId="164" fontId="0" fillId="0" borderId="10" xfId="0" applyNumberFormat="1" applyFill="1" applyBorder="1"/>
    <xf numFmtId="164" fontId="0" fillId="0" borderId="14" xfId="0" applyNumberFormat="1" applyFill="1" applyBorder="1"/>
    <xf numFmtId="164" fontId="0" fillId="0" borderId="15" xfId="0" applyNumberFormat="1" applyFill="1" applyBorder="1"/>
    <xf numFmtId="164" fontId="0" fillId="0" borderId="11" xfId="0" applyNumberFormat="1" applyFill="1" applyBorder="1"/>
    <xf numFmtId="0" fontId="4" fillId="8" borderId="0" xfId="0" applyFont="1" applyAlignment="1" applyProtection="1">
      <alignment horizontal="center" vertical="center"/>
      <protection locked="0"/>
    </xf>
    <xf numFmtId="2" fontId="2" fillId="9" borderId="0" xfId="0" applyNumberFormat="1" applyFont="1" applyFill="1"/>
    <xf numFmtId="0" fontId="5" fillId="10" borderId="17" xfId="0" applyFont="1" applyFill="1" applyBorder="1" applyAlignment="1">
      <alignment horizontal="left" vertical="center"/>
    </xf>
    <xf numFmtId="0" fontId="6" fillId="10" borderId="17" xfId="0" applyFont="1" applyFill="1" applyBorder="1" applyAlignment="1">
      <alignment horizontal="left" vertical="center"/>
    </xf>
    <xf numFmtId="0" fontId="5" fillId="10" borderId="18" xfId="0" applyFont="1" applyFill="1" applyBorder="1" applyAlignment="1">
      <alignment horizontal="left" vertical="center"/>
    </xf>
    <xf numFmtId="3" fontId="5" fillId="10" borderId="17" xfId="0" applyNumberFormat="1" applyFont="1" applyFill="1" applyBorder="1" applyAlignment="1">
      <alignment horizontal="left" vertical="center"/>
    </xf>
    <xf numFmtId="0" fontId="3" fillId="0" borderId="0" xfId="0" applyFont="1" applyFill="1"/>
    <xf numFmtId="0" fontId="3" fillId="0" borderId="12" xfId="0" applyFont="1" applyFill="1" applyBorder="1"/>
    <xf numFmtId="0" fontId="3" fillId="0" borderId="14" xfId="0" applyFont="1" applyFill="1" applyBorder="1"/>
    <xf numFmtId="2" fontId="0" fillId="8" borderId="1" xfId="0" applyNumberFormat="1" applyBorder="1" applyAlignment="1" applyProtection="1">
      <alignment horizontal="center" vertical="center"/>
      <protection locked="0"/>
    </xf>
    <xf numFmtId="0" fontId="0" fillId="0" borderId="10" xfId="0" applyFill="1" applyBorder="1"/>
    <xf numFmtId="0" fontId="0" fillId="2" borderId="1" xfId="0" applyFill="1" applyBorder="1" applyAlignment="1" applyProtection="1">
      <alignment horizontal="center" vertical="center"/>
      <protection locked="0"/>
    </xf>
    <xf numFmtId="0" fontId="0" fillId="8" borderId="0" xfId="0"/>
    <xf numFmtId="0" fontId="3" fillId="0" borderId="0" xfId="0" quotePrefix="1" applyFont="1" applyFill="1"/>
    <xf numFmtId="164" fontId="0" fillId="8" borderId="0" xfId="0" applyNumberFormat="1" applyFill="1" applyBorder="1"/>
    <xf numFmtId="0" fontId="0" fillId="8" borderId="0" xfId="0" applyFill="1" applyBorder="1"/>
    <xf numFmtId="0" fontId="3" fillId="8" borderId="0" xfId="0" quotePrefix="1" applyFont="1"/>
    <xf numFmtId="0" fontId="3" fillId="8" borderId="0" xfId="0" applyFont="1"/>
    <xf numFmtId="0" fontId="7" fillId="10" borderId="18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3" xfId="0" applyFill="1" applyBorder="1"/>
    <xf numFmtId="0" fontId="0" fillId="0" borderId="2" xfId="0" applyFill="1" applyBorder="1"/>
    <xf numFmtId="2" fontId="0" fillId="8" borderId="1" xfId="0" applyNumberFormat="1" applyBorder="1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Protection="1">
      <protection locked="0"/>
    </xf>
    <xf numFmtId="0" fontId="0" fillId="7" borderId="21" xfId="0" applyFill="1" applyBorder="1"/>
    <xf numFmtId="0" fontId="0" fillId="0" borderId="8" xfId="0" applyFill="1" applyBorder="1"/>
    <xf numFmtId="0" fontId="0" fillId="6" borderId="7" xfId="0" applyFill="1" applyBorder="1"/>
    <xf numFmtId="0" fontId="0" fillId="0" borderId="7" xfId="0" applyFill="1" applyBorder="1"/>
    <xf numFmtId="0" fontId="0" fillId="6" borderId="8" xfId="0" applyFill="1" applyBorder="1"/>
    <xf numFmtId="0" fontId="0" fillId="4" borderId="4" xfId="0" applyFill="1" applyBorder="1" applyAlignment="1" applyProtection="1">
      <alignment horizontal="center" vertical="center"/>
      <protection locked="0"/>
    </xf>
    <xf numFmtId="0" fontId="0" fillId="0" borderId="20" xfId="0" applyFill="1" applyBorder="1" applyProtection="1">
      <protection locked="0"/>
    </xf>
  </cellXfs>
  <cellStyles count="17">
    <cellStyle name="Normal" xfId="0" builtinId="0"/>
    <cellStyle name="Normal 2" xfId="2" xr:uid="{00000000-0005-0000-0000-000001000000}"/>
    <cellStyle name="Normal 2 2" xfId="4" xr:uid="{00000000-0005-0000-0000-000002000000}"/>
    <cellStyle name="Normal 2 3" xfId="7" xr:uid="{00000000-0005-0000-0000-000003000000}"/>
    <cellStyle name="Normal 2 3 2" xfId="13" xr:uid="{00000000-0005-0000-0000-000004000000}"/>
    <cellStyle name="Normal 2 4" xfId="11" xr:uid="{00000000-0005-0000-0000-000005000000}"/>
    <cellStyle name="Normal 3" xfId="3" xr:uid="{00000000-0005-0000-0000-000006000000}"/>
    <cellStyle name="Normal 4" xfId="5" xr:uid="{00000000-0005-0000-0000-000007000000}"/>
    <cellStyle name="Normal 4 2" xfId="9" xr:uid="{00000000-0005-0000-0000-000008000000}"/>
    <cellStyle name="Normal 5" xfId="6" xr:uid="{00000000-0005-0000-0000-000009000000}"/>
    <cellStyle name="Normal 5 2" xfId="12" xr:uid="{00000000-0005-0000-0000-00000A000000}"/>
    <cellStyle name="Normal 6" xfId="10" xr:uid="{00000000-0005-0000-0000-00000B000000}"/>
    <cellStyle name="Normal 6 2" xfId="14" xr:uid="{00000000-0005-0000-0000-00000C000000}"/>
    <cellStyle name="Normal 7" xfId="16" xr:uid="{00000000-0005-0000-0000-00000D000000}"/>
    <cellStyle name="Normal 8" xfId="1" xr:uid="{00000000-0005-0000-0000-00000E000000}"/>
    <cellStyle name="Percent 2" xfId="8" xr:uid="{00000000-0005-0000-0000-00000F000000}"/>
    <cellStyle name="Percent 3" xfId="15" xr:uid="{00000000-0005-0000-0000-000010000000}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dashDot">
          <color rgb="FF00B050"/>
        </bottom>
        <vertical/>
        <horizontal/>
      </border>
    </dxf>
    <dxf>
      <border>
        <bottom style="dotted">
          <color theme="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200025</xdr:colOff>
      <xdr:row>0</xdr:row>
      <xdr:rowOff>47625</xdr:rowOff>
    </xdr:from>
    <xdr:to>
      <xdr:col>42</xdr:col>
      <xdr:colOff>190058</xdr:colOff>
      <xdr:row>5</xdr:row>
      <xdr:rowOff>167854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E661E-582B-1B17-B163-96B0F9333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74850" y="47625"/>
          <a:ext cx="3038033" cy="10727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KO" id="{1A0FFE86-8AF0-4663-9ACD-D92116F4D374}" userId="XK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3" dT="2025-10-10T07:54:30.65" personId="{1A0FFE86-8AF0-4663-9ACD-D92116F4D374}" id="{0930133A-4CCA-41E2-90B1-C068A4620379}">
    <text>Equinor Kristian Ås: October 9, 2025 10:12 AM Sfenv:1.45 for Two failures</text>
  </threadedComment>
  <threadedComment ref="AJ27" dT="2025-10-10T07:54:30.65" personId="{1A0FFE86-8AF0-4663-9ACD-D92116F4D374}" id="{A4F0750C-95B4-4C1E-8886-EA3F4D81F8A7}">
    <text>Equinor Kristian Ås: October 9, 2025 10:12 AM Sfenv:1.45 for Two failures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"/>
  <sheetViews>
    <sheetView zoomScaleNormal="100" workbookViewId="0">
      <selection activeCell="A5" sqref="A5"/>
    </sheetView>
  </sheetViews>
  <sheetFormatPr defaultRowHeight="15" x14ac:dyDescent="0.25"/>
  <cols>
    <col min="1" max="1" width="40.7109375" style="3" bestFit="1" customWidth="1"/>
    <col min="2" max="2" width="7.42578125" style="2" bestFit="1" customWidth="1"/>
    <col min="3" max="3" width="6.42578125" style="2" bestFit="1" customWidth="1"/>
    <col min="4" max="4" width="7" style="2" bestFit="1" customWidth="1"/>
    <col min="5" max="5" width="8.42578125" style="2" bestFit="1" customWidth="1"/>
    <col min="6" max="6" width="7.42578125" style="2" bestFit="1" customWidth="1"/>
    <col min="7" max="7" width="6.42578125" style="2" bestFit="1" customWidth="1"/>
    <col min="8" max="8" width="7" style="2" bestFit="1" customWidth="1"/>
    <col min="9" max="10" width="7.42578125" style="2" bestFit="1" customWidth="1"/>
    <col min="11" max="11" width="6.42578125" style="2" bestFit="1" customWidth="1"/>
    <col min="12" max="12" width="7" style="2" bestFit="1" customWidth="1"/>
    <col min="13" max="14" width="7.42578125" style="2" bestFit="1" customWidth="1"/>
    <col min="15" max="15" width="6.42578125" style="2" bestFit="1" customWidth="1"/>
    <col min="16" max="16" width="7" style="2" bestFit="1" customWidth="1"/>
    <col min="17" max="17" width="7.42578125" style="2" bestFit="1" customWidth="1"/>
    <col min="18" max="20" width="6.42578125" style="2" bestFit="1" customWidth="1"/>
    <col min="21" max="21" width="7.42578125" style="2" bestFit="1" customWidth="1"/>
    <col min="22" max="24" width="6.42578125" style="2" bestFit="1" customWidth="1"/>
    <col min="25" max="25" width="7.42578125" style="2" bestFit="1" customWidth="1"/>
    <col min="26" max="28" width="6.42578125" style="2" bestFit="1" customWidth="1"/>
    <col min="29" max="29" width="7.42578125" style="2" bestFit="1" customWidth="1"/>
    <col min="30" max="32" width="6.42578125" style="2" bestFit="1" customWidth="1"/>
    <col min="33" max="34" width="7.42578125" style="2" bestFit="1" customWidth="1"/>
    <col min="35" max="36" width="6.42578125" style="2" bestFit="1" customWidth="1"/>
    <col min="37" max="38" width="7.42578125" style="2" bestFit="1" customWidth="1"/>
    <col min="39" max="40" width="6.42578125" style="2" bestFit="1" customWidth="1"/>
    <col min="41" max="42" width="7.42578125" style="2" bestFit="1" customWidth="1"/>
    <col min="43" max="44" width="6.42578125" style="2" bestFit="1" customWidth="1"/>
    <col min="45" max="46" width="7.42578125" style="2" bestFit="1" customWidth="1"/>
    <col min="47" max="48" width="6.42578125" style="2" bestFit="1" customWidth="1"/>
    <col min="49" max="51" width="7.42578125" style="2" bestFit="1" customWidth="1"/>
    <col min="52" max="52" width="5.42578125" style="2" bestFit="1" customWidth="1"/>
    <col min="53" max="53" width="8.42578125" style="2" bestFit="1" customWidth="1"/>
    <col min="54" max="55" width="7.42578125" style="2" bestFit="1" customWidth="1"/>
    <col min="56" max="56" width="8" style="2" bestFit="1" customWidth="1"/>
    <col min="57" max="57" width="8.42578125" style="2" bestFit="1" customWidth="1"/>
    <col min="58" max="58" width="5.7109375" style="2" bestFit="1" customWidth="1"/>
    <col min="59" max="59" width="5.42578125" style="2" bestFit="1" customWidth="1"/>
    <col min="60" max="60" width="4.42578125" style="2" bestFit="1" customWidth="1"/>
    <col min="61" max="61" width="5.42578125" style="2" bestFit="1" customWidth="1"/>
    <col min="62" max="62" width="6" style="2" bestFit="1" customWidth="1"/>
    <col min="63" max="63" width="5.42578125" style="2" bestFit="1" customWidth="1"/>
    <col min="64" max="64" width="6" style="2" bestFit="1" customWidth="1"/>
    <col min="65" max="65" width="5.42578125" style="2" bestFit="1" customWidth="1"/>
    <col min="66" max="66" width="6" style="2" bestFit="1" customWidth="1"/>
    <col min="67" max="67" width="5.42578125" style="2" bestFit="1" customWidth="1"/>
    <col min="68" max="68" width="6" style="2" bestFit="1" customWidth="1"/>
    <col min="69" max="69" width="5.42578125" style="2" bestFit="1" customWidth="1"/>
    <col min="70" max="70" width="6" style="2" bestFit="1" customWidth="1"/>
    <col min="71" max="71" width="4.42578125" style="2" bestFit="1" customWidth="1"/>
    <col min="72" max="73" width="6" style="2" bestFit="1" customWidth="1"/>
    <col min="74" max="74" width="5.7109375" style="2" bestFit="1" customWidth="1"/>
    <col min="75" max="75" width="4.42578125" style="2" bestFit="1" customWidth="1"/>
    <col min="76" max="76" width="6" style="2" bestFit="1" customWidth="1"/>
    <col min="77" max="77" width="5.42578125" style="2" bestFit="1" customWidth="1"/>
    <col min="78" max="78" width="5.7109375" style="2" bestFit="1" customWidth="1"/>
    <col min="79" max="79" width="4.42578125" style="2" bestFit="1" customWidth="1"/>
    <col min="80" max="80" width="5" style="2" bestFit="1" customWidth="1"/>
    <col min="81" max="81" width="4.42578125" style="2" bestFit="1" customWidth="1"/>
    <col min="82" max="82" width="6.42578125" style="2" bestFit="1" customWidth="1"/>
    <col min="83" max="83" width="5.42578125" style="2" bestFit="1" customWidth="1"/>
    <col min="84" max="85" width="6.42578125" style="2" bestFit="1" customWidth="1"/>
  </cols>
  <sheetData>
    <row r="1" spans="1:89" x14ac:dyDescent="0.25">
      <c r="A1" s="35"/>
    </row>
    <row r="2" spans="1:89" x14ac:dyDescent="0.25">
      <c r="A2">
        <f>COLUMN()</f>
        <v>1</v>
      </c>
      <c r="B2">
        <f>COLUMN()</f>
        <v>2</v>
      </c>
      <c r="C2">
        <f>COLUMN()</f>
        <v>3</v>
      </c>
      <c r="D2">
        <f>COLUMN()</f>
        <v>4</v>
      </c>
      <c r="E2">
        <f>COLUMN()</f>
        <v>5</v>
      </c>
      <c r="F2">
        <f>COLUMN()</f>
        <v>6</v>
      </c>
      <c r="G2">
        <f>COLUMN()</f>
        <v>7</v>
      </c>
      <c r="H2">
        <f>COLUMN()</f>
        <v>8</v>
      </c>
      <c r="I2">
        <f>COLUMN()</f>
        <v>9</v>
      </c>
      <c r="J2">
        <f>COLUMN()</f>
        <v>10</v>
      </c>
      <c r="K2">
        <f>COLUMN()</f>
        <v>11</v>
      </c>
      <c r="L2">
        <f>COLUMN()</f>
        <v>12</v>
      </c>
      <c r="M2">
        <f>COLUMN()</f>
        <v>13</v>
      </c>
      <c r="N2">
        <f>COLUMN()</f>
        <v>14</v>
      </c>
      <c r="O2">
        <f>COLUMN()</f>
        <v>15</v>
      </c>
      <c r="P2">
        <f>COLUMN()</f>
        <v>16</v>
      </c>
      <c r="Q2">
        <f>COLUMN()</f>
        <v>17</v>
      </c>
      <c r="R2">
        <f>COLUMN()</f>
        <v>18</v>
      </c>
      <c r="S2">
        <f>COLUMN()</f>
        <v>19</v>
      </c>
      <c r="T2">
        <f>COLUMN()</f>
        <v>20</v>
      </c>
      <c r="U2">
        <f>COLUMN()</f>
        <v>21</v>
      </c>
      <c r="V2">
        <f>COLUMN()</f>
        <v>22</v>
      </c>
      <c r="W2">
        <f>COLUMN()</f>
        <v>23</v>
      </c>
      <c r="X2">
        <f>COLUMN()</f>
        <v>24</v>
      </c>
      <c r="Y2">
        <f>COLUMN()</f>
        <v>25</v>
      </c>
      <c r="Z2">
        <f>COLUMN()</f>
        <v>26</v>
      </c>
      <c r="AA2">
        <f>COLUMN()</f>
        <v>27</v>
      </c>
      <c r="AB2">
        <f>COLUMN()</f>
        <v>28</v>
      </c>
      <c r="AC2">
        <f>COLUMN()</f>
        <v>29</v>
      </c>
      <c r="AD2">
        <f>COLUMN()</f>
        <v>30</v>
      </c>
      <c r="AE2">
        <f>COLUMN()</f>
        <v>31</v>
      </c>
      <c r="AF2">
        <f>COLUMN()</f>
        <v>32</v>
      </c>
      <c r="AG2">
        <f>COLUMN()</f>
        <v>33</v>
      </c>
      <c r="AH2">
        <f>COLUMN()</f>
        <v>34</v>
      </c>
      <c r="AI2">
        <f>COLUMN()</f>
        <v>35</v>
      </c>
      <c r="AJ2">
        <f>COLUMN()</f>
        <v>36</v>
      </c>
      <c r="AK2">
        <f>COLUMN()</f>
        <v>37</v>
      </c>
      <c r="AL2">
        <f>COLUMN()</f>
        <v>38</v>
      </c>
      <c r="AM2">
        <f>COLUMN()</f>
        <v>39</v>
      </c>
      <c r="AN2">
        <f>COLUMN()</f>
        <v>40</v>
      </c>
      <c r="AO2">
        <f>COLUMN()</f>
        <v>41</v>
      </c>
      <c r="AP2">
        <f>COLUMN()</f>
        <v>42</v>
      </c>
      <c r="AQ2">
        <f>COLUMN()</f>
        <v>43</v>
      </c>
      <c r="AR2">
        <f>COLUMN()</f>
        <v>44</v>
      </c>
      <c r="AS2">
        <f>COLUMN()</f>
        <v>45</v>
      </c>
      <c r="AT2">
        <f>COLUMN()</f>
        <v>46</v>
      </c>
      <c r="AU2">
        <f>COLUMN()</f>
        <v>47</v>
      </c>
      <c r="AV2">
        <f>COLUMN()</f>
        <v>48</v>
      </c>
      <c r="AW2">
        <f>COLUMN()</f>
        <v>49</v>
      </c>
      <c r="AX2">
        <f>COLUMN()</f>
        <v>50</v>
      </c>
      <c r="AY2">
        <f>COLUMN()</f>
        <v>51</v>
      </c>
      <c r="AZ2">
        <f>COLUMN()</f>
        <v>52</v>
      </c>
      <c r="BA2">
        <f>COLUMN()</f>
        <v>53</v>
      </c>
      <c r="BB2">
        <f>COLUMN()</f>
        <v>54</v>
      </c>
      <c r="BC2">
        <f>COLUMN()</f>
        <v>55</v>
      </c>
      <c r="BD2">
        <f>COLUMN()</f>
        <v>56</v>
      </c>
      <c r="BE2">
        <f>COLUMN()</f>
        <v>57</v>
      </c>
      <c r="BF2">
        <f>COLUMN()</f>
        <v>58</v>
      </c>
      <c r="BG2">
        <f>COLUMN()</f>
        <v>59</v>
      </c>
      <c r="BH2">
        <f>COLUMN()</f>
        <v>60</v>
      </c>
      <c r="BI2">
        <f>COLUMN()</f>
        <v>61</v>
      </c>
      <c r="BJ2">
        <f>COLUMN()</f>
        <v>62</v>
      </c>
      <c r="BK2">
        <f>COLUMN()</f>
        <v>63</v>
      </c>
      <c r="BL2">
        <f>COLUMN()</f>
        <v>64</v>
      </c>
      <c r="BM2">
        <f>COLUMN()</f>
        <v>65</v>
      </c>
      <c r="BN2">
        <f>COLUMN()</f>
        <v>66</v>
      </c>
      <c r="BO2">
        <f>COLUMN()</f>
        <v>67</v>
      </c>
      <c r="BP2">
        <f>COLUMN()</f>
        <v>68</v>
      </c>
      <c r="BQ2">
        <f>COLUMN()</f>
        <v>69</v>
      </c>
      <c r="BR2">
        <f>COLUMN()</f>
        <v>70</v>
      </c>
      <c r="BS2">
        <f>COLUMN()</f>
        <v>71</v>
      </c>
      <c r="BT2">
        <f>COLUMN()</f>
        <v>72</v>
      </c>
      <c r="BU2">
        <f>COLUMN()</f>
        <v>73</v>
      </c>
      <c r="BV2">
        <f>COLUMN()</f>
        <v>74</v>
      </c>
      <c r="BW2">
        <f>COLUMN()</f>
        <v>75</v>
      </c>
      <c r="BX2">
        <f>COLUMN()</f>
        <v>76</v>
      </c>
      <c r="BY2">
        <f>COLUMN()</f>
        <v>77</v>
      </c>
      <c r="BZ2">
        <f>COLUMN()</f>
        <v>78</v>
      </c>
      <c r="CA2">
        <f>COLUMN()</f>
        <v>79</v>
      </c>
      <c r="CB2">
        <f>COLUMN()</f>
        <v>80</v>
      </c>
      <c r="CC2">
        <f>COLUMN()</f>
        <v>81</v>
      </c>
      <c r="CD2">
        <f>COLUMN()</f>
        <v>82</v>
      </c>
      <c r="CE2">
        <f>COLUMN()</f>
        <v>83</v>
      </c>
      <c r="CF2">
        <f>COLUMN()</f>
        <v>84</v>
      </c>
      <c r="CG2">
        <f>COLUMN()</f>
        <v>85</v>
      </c>
    </row>
    <row r="3" spans="1:89" x14ac:dyDescent="0.25">
      <c r="A3" s="47" t="s">
        <v>0</v>
      </c>
      <c r="B3" s="46" t="s">
        <v>1</v>
      </c>
      <c r="C3" s="44"/>
      <c r="D3" s="44"/>
      <c r="E3" s="45"/>
      <c r="F3" s="46" t="s">
        <v>2</v>
      </c>
      <c r="G3" s="44"/>
      <c r="H3" s="44"/>
      <c r="I3" s="45"/>
      <c r="J3" s="46" t="s">
        <v>3</v>
      </c>
      <c r="K3" s="44"/>
      <c r="L3" s="44"/>
      <c r="M3" s="45"/>
      <c r="N3" s="46" t="s">
        <v>4</v>
      </c>
      <c r="O3" s="44"/>
      <c r="P3" s="44"/>
      <c r="Q3" s="45"/>
      <c r="R3" s="46" t="s">
        <v>5</v>
      </c>
      <c r="S3" s="44"/>
      <c r="T3" s="44"/>
      <c r="U3" s="45"/>
      <c r="V3" s="46" t="s">
        <v>6</v>
      </c>
      <c r="W3" s="44"/>
      <c r="X3" s="44"/>
      <c r="Y3" s="45"/>
      <c r="Z3" s="46" t="s">
        <v>7</v>
      </c>
      <c r="AA3" s="44"/>
      <c r="AB3" s="44"/>
      <c r="AC3" s="45"/>
      <c r="AD3" s="46" t="s">
        <v>8</v>
      </c>
      <c r="AE3" s="44"/>
      <c r="AF3" s="44"/>
      <c r="AG3" s="45"/>
      <c r="AH3" s="46" t="s">
        <v>9</v>
      </c>
      <c r="AI3" s="44"/>
      <c r="AJ3" s="44"/>
      <c r="AK3" s="45"/>
      <c r="AL3" s="46" t="s">
        <v>10</v>
      </c>
      <c r="AM3" s="44"/>
      <c r="AN3" s="44"/>
      <c r="AO3" s="45"/>
      <c r="AP3" s="46" t="s">
        <v>11</v>
      </c>
      <c r="AQ3" s="44"/>
      <c r="AR3" s="44"/>
      <c r="AS3" s="45"/>
      <c r="AT3" s="46" t="s">
        <v>12</v>
      </c>
      <c r="AU3" s="44"/>
      <c r="AV3" s="44"/>
      <c r="AW3" s="45"/>
      <c r="AX3" s="46" t="s">
        <v>13</v>
      </c>
      <c r="AY3" s="44"/>
      <c r="AZ3" s="44"/>
      <c r="BA3" s="45"/>
      <c r="BB3" s="46" t="s">
        <v>14</v>
      </c>
      <c r="BC3" s="44"/>
      <c r="BD3" s="44"/>
      <c r="BE3" s="45"/>
      <c r="BF3" s="46" t="s">
        <v>15</v>
      </c>
      <c r="BG3" s="44"/>
      <c r="BH3" s="44"/>
      <c r="BI3" s="45"/>
      <c r="BJ3" s="46" t="s">
        <v>16</v>
      </c>
      <c r="BK3" s="44"/>
      <c r="BL3" s="44"/>
      <c r="BM3" s="45"/>
      <c r="BN3" s="46" t="s">
        <v>16</v>
      </c>
      <c r="BO3" s="44"/>
      <c r="BP3" s="44"/>
      <c r="BQ3" s="45"/>
      <c r="BR3" s="46" t="s">
        <v>17</v>
      </c>
      <c r="BS3" s="44"/>
      <c r="BT3" s="44"/>
      <c r="BU3" s="45"/>
      <c r="BV3" s="46" t="s">
        <v>18</v>
      </c>
      <c r="BW3" s="44"/>
      <c r="BX3" s="44"/>
      <c r="BY3" s="45"/>
      <c r="BZ3" s="46" t="s">
        <v>19</v>
      </c>
      <c r="CA3" s="44"/>
      <c r="CB3" s="44"/>
      <c r="CC3" s="45"/>
      <c r="CD3" s="46" t="s">
        <v>20</v>
      </c>
      <c r="CE3" s="44"/>
      <c r="CF3" s="44"/>
      <c r="CG3" s="45"/>
      <c r="CH3" s="43"/>
      <c r="CI3" s="44"/>
      <c r="CJ3" s="44"/>
      <c r="CK3" s="45"/>
    </row>
    <row r="4" spans="1:89" x14ac:dyDescent="0.25">
      <c r="A4" s="48"/>
      <c r="B4" s="33" t="s">
        <v>21</v>
      </c>
      <c r="C4" s="33" t="s">
        <v>22</v>
      </c>
      <c r="D4" s="33" t="s">
        <v>23</v>
      </c>
      <c r="E4" s="33" t="s">
        <v>24</v>
      </c>
      <c r="F4" s="33" t="s">
        <v>21</v>
      </c>
      <c r="G4" s="33" t="s">
        <v>22</v>
      </c>
      <c r="H4" s="33" t="s">
        <v>23</v>
      </c>
      <c r="I4" s="33" t="s">
        <v>24</v>
      </c>
      <c r="J4" s="33" t="s">
        <v>21</v>
      </c>
      <c r="K4" s="33" t="s">
        <v>22</v>
      </c>
      <c r="L4" s="33" t="s">
        <v>23</v>
      </c>
      <c r="M4" s="33" t="s">
        <v>24</v>
      </c>
      <c r="N4" s="33" t="s">
        <v>21</v>
      </c>
      <c r="O4" s="33" t="s">
        <v>22</v>
      </c>
      <c r="P4" s="33" t="s">
        <v>23</v>
      </c>
      <c r="Q4" s="33" t="s">
        <v>24</v>
      </c>
      <c r="R4" s="33" t="s">
        <v>21</v>
      </c>
      <c r="S4" s="33" t="s">
        <v>22</v>
      </c>
      <c r="T4" s="33" t="s">
        <v>23</v>
      </c>
      <c r="U4" s="33" t="s">
        <v>24</v>
      </c>
      <c r="V4" s="33" t="s">
        <v>21</v>
      </c>
      <c r="W4" s="33" t="s">
        <v>22</v>
      </c>
      <c r="X4" s="33" t="s">
        <v>23</v>
      </c>
      <c r="Y4" s="33" t="s">
        <v>24</v>
      </c>
      <c r="Z4" s="33" t="s">
        <v>21</v>
      </c>
      <c r="AA4" s="33" t="s">
        <v>22</v>
      </c>
      <c r="AB4" s="33" t="s">
        <v>23</v>
      </c>
      <c r="AC4" s="33" t="s">
        <v>24</v>
      </c>
      <c r="AD4" s="33" t="s">
        <v>21</v>
      </c>
      <c r="AE4" s="33" t="s">
        <v>22</v>
      </c>
      <c r="AF4" s="33" t="s">
        <v>23</v>
      </c>
      <c r="AG4" s="33" t="s">
        <v>24</v>
      </c>
      <c r="AH4" s="33" t="s">
        <v>21</v>
      </c>
      <c r="AI4" s="33" t="s">
        <v>22</v>
      </c>
      <c r="AJ4" s="33" t="s">
        <v>23</v>
      </c>
      <c r="AK4" s="33" t="s">
        <v>24</v>
      </c>
      <c r="AL4" s="33" t="s">
        <v>21</v>
      </c>
      <c r="AM4" s="33" t="s">
        <v>22</v>
      </c>
      <c r="AN4" s="33" t="s">
        <v>23</v>
      </c>
      <c r="AO4" s="33" t="s">
        <v>24</v>
      </c>
      <c r="AP4" s="33" t="s">
        <v>21</v>
      </c>
      <c r="AQ4" s="33" t="s">
        <v>22</v>
      </c>
      <c r="AR4" s="33" t="s">
        <v>23</v>
      </c>
      <c r="AS4" s="33" t="s">
        <v>24</v>
      </c>
      <c r="AT4" s="33" t="s">
        <v>21</v>
      </c>
      <c r="AU4" s="33" t="s">
        <v>22</v>
      </c>
      <c r="AV4" s="33" t="s">
        <v>23</v>
      </c>
      <c r="AW4" s="33" t="s">
        <v>24</v>
      </c>
      <c r="AX4" s="33" t="s">
        <v>21</v>
      </c>
      <c r="AY4" s="33" t="s">
        <v>22</v>
      </c>
      <c r="AZ4" s="33" t="s">
        <v>23</v>
      </c>
      <c r="BA4" s="33" t="s">
        <v>24</v>
      </c>
      <c r="BB4" s="33" t="s">
        <v>21</v>
      </c>
      <c r="BC4" s="33" t="s">
        <v>22</v>
      </c>
      <c r="BD4" s="33" t="s">
        <v>23</v>
      </c>
      <c r="BE4" s="33" t="s">
        <v>24</v>
      </c>
      <c r="BF4" s="33" t="s">
        <v>21</v>
      </c>
      <c r="BG4" s="33" t="s">
        <v>22</v>
      </c>
      <c r="BH4" s="33" t="s">
        <v>23</v>
      </c>
      <c r="BI4" s="33" t="s">
        <v>24</v>
      </c>
      <c r="BJ4" s="33" t="s">
        <v>21</v>
      </c>
      <c r="BK4" s="33" t="s">
        <v>22</v>
      </c>
      <c r="BL4" s="33" t="s">
        <v>23</v>
      </c>
      <c r="BM4" s="33" t="s">
        <v>24</v>
      </c>
      <c r="BN4" s="33" t="s">
        <v>21</v>
      </c>
      <c r="BO4" s="33" t="s">
        <v>22</v>
      </c>
      <c r="BP4" s="33" t="s">
        <v>23</v>
      </c>
      <c r="BQ4" s="33" t="s">
        <v>24</v>
      </c>
      <c r="BR4" s="33" t="s">
        <v>21</v>
      </c>
      <c r="BS4" s="33" t="s">
        <v>22</v>
      </c>
      <c r="BT4" s="33" t="s">
        <v>23</v>
      </c>
      <c r="BU4" s="33" t="s">
        <v>24</v>
      </c>
      <c r="BV4" s="33" t="s">
        <v>21</v>
      </c>
      <c r="BW4" s="33" t="s">
        <v>22</v>
      </c>
      <c r="BX4" s="33" t="s">
        <v>23</v>
      </c>
      <c r="BY4" s="33" t="s">
        <v>24</v>
      </c>
      <c r="BZ4" s="33" t="s">
        <v>21</v>
      </c>
      <c r="CA4" s="33" t="s">
        <v>22</v>
      </c>
      <c r="CB4" s="33" t="s">
        <v>23</v>
      </c>
      <c r="CC4" s="33" t="s">
        <v>24</v>
      </c>
      <c r="CD4" s="33" t="s">
        <v>21</v>
      </c>
      <c r="CE4" s="33" t="s">
        <v>22</v>
      </c>
      <c r="CF4" s="33" t="s">
        <v>23</v>
      </c>
      <c r="CG4" s="33" t="s">
        <v>24</v>
      </c>
    </row>
  </sheetData>
  <mergeCells count="23">
    <mergeCell ref="BJ3:BM3"/>
    <mergeCell ref="BV3:BY3"/>
    <mergeCell ref="A3:A4"/>
    <mergeCell ref="AH3:AK3"/>
    <mergeCell ref="R3:U3"/>
    <mergeCell ref="J3:M3"/>
    <mergeCell ref="AX3:BA3"/>
    <mergeCell ref="CH3:CK3"/>
    <mergeCell ref="AP3:AS3"/>
    <mergeCell ref="B3:E3"/>
    <mergeCell ref="BB3:BE3"/>
    <mergeCell ref="F3:I3"/>
    <mergeCell ref="AT3:AW3"/>
    <mergeCell ref="N3:Q3"/>
    <mergeCell ref="BN3:BQ3"/>
    <mergeCell ref="BF3:BI3"/>
    <mergeCell ref="BR3:BU3"/>
    <mergeCell ref="BZ3:CC3"/>
    <mergeCell ref="Z3:AC3"/>
    <mergeCell ref="AL3:AO3"/>
    <mergeCell ref="CD3:CG3"/>
    <mergeCell ref="V3:Y3"/>
    <mergeCell ref="AD3:AG3"/>
  </mergeCells>
  <conditionalFormatting sqref="A5:A244">
    <cfRule type="expression" dxfId="7" priority="1">
      <formula>MOD(ROW()-4,20)=0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59"/>
  <sheetViews>
    <sheetView tabSelected="1" topLeftCell="N1" workbookViewId="0">
      <selection activeCell="AJ27" sqref="AJ27"/>
    </sheetView>
  </sheetViews>
  <sheetFormatPr defaultRowHeight="15" x14ac:dyDescent="0.25"/>
  <cols>
    <col min="1" max="1" width="76.5703125" style="3" customWidth="1"/>
    <col min="2" max="2" width="10.140625" style="3" bestFit="1" customWidth="1"/>
    <col min="6" max="6" width="3" style="3" bestFit="1" customWidth="1"/>
    <col min="9" max="9" width="9.140625" style="3" customWidth="1"/>
    <col min="19" max="19" width="13.28515625" style="3" bestFit="1" customWidth="1"/>
    <col min="20" max="20" width="9.28515625" style="3" bestFit="1" customWidth="1"/>
    <col min="21" max="21" width="11.5703125" style="3" bestFit="1" customWidth="1"/>
    <col min="22" max="22" width="10.42578125" style="3" customWidth="1"/>
    <col min="23" max="23" width="9.42578125" style="3" bestFit="1" customWidth="1"/>
    <col min="32" max="32" width="13.28515625" style="3" bestFit="1" customWidth="1"/>
    <col min="33" max="33" width="9.28515625" style="3" bestFit="1" customWidth="1"/>
    <col min="34" max="34" width="3.5703125" style="3" bestFit="1" customWidth="1"/>
  </cols>
  <sheetData>
    <row r="1" spans="1:37" x14ac:dyDescent="0.25">
      <c r="A1" s="35"/>
      <c r="B1" s="35"/>
      <c r="S1" s="3">
        <f>nSD</f>
        <v>21</v>
      </c>
    </row>
    <row r="2" spans="1:37" ht="15" customHeight="1" thickBot="1" x14ac:dyDescent="0.3">
      <c r="A2" s="37" t="s">
        <v>57</v>
      </c>
      <c r="S2" s="40" t="s">
        <v>58</v>
      </c>
      <c r="T2" t="s">
        <v>25</v>
      </c>
      <c r="V2" t="s">
        <v>26</v>
      </c>
      <c r="W2" t="s">
        <v>27</v>
      </c>
      <c r="X2" t="s">
        <v>28</v>
      </c>
      <c r="Y2" s="41" t="s">
        <v>58</v>
      </c>
      <c r="AF2" t="s">
        <v>29</v>
      </c>
      <c r="AG2" s="30" t="s">
        <v>30</v>
      </c>
      <c r="AH2" s="30" t="s">
        <v>31</v>
      </c>
      <c r="AI2" t="s">
        <v>26</v>
      </c>
      <c r="AJ2" t="s">
        <v>27</v>
      </c>
      <c r="AK2" t="s">
        <v>28</v>
      </c>
    </row>
    <row r="3" spans="1:37" ht="15" customHeight="1" thickTop="1" x14ac:dyDescent="0.25">
      <c r="A3" s="54" t="s">
        <v>0</v>
      </c>
      <c r="B3" s="51" t="s">
        <v>32</v>
      </c>
      <c r="C3" s="52"/>
      <c r="D3" s="52"/>
      <c r="E3" s="52"/>
      <c r="F3" s="52"/>
      <c r="G3" s="49" t="s">
        <v>33</v>
      </c>
      <c r="H3" s="52"/>
      <c r="I3" s="50"/>
      <c r="J3" s="51" t="s">
        <v>34</v>
      </c>
      <c r="K3" s="52"/>
      <c r="L3" s="49" t="s">
        <v>35</v>
      </c>
      <c r="M3" s="50"/>
      <c r="N3" s="53" t="s">
        <v>36</v>
      </c>
      <c r="O3" s="50"/>
      <c r="P3" s="4" t="s">
        <v>37</v>
      </c>
      <c r="Q3" s="5" t="s">
        <v>38</v>
      </c>
      <c r="S3" s="9"/>
      <c r="T3" s="9" t="str">
        <f>C4&amp;" LTen"</f>
        <v>Max LTen</v>
      </c>
      <c r="V3" s="10" t="s">
        <v>39</v>
      </c>
      <c r="W3" s="10" t="s">
        <v>40</v>
      </c>
      <c r="X3" s="6" t="s">
        <v>41</v>
      </c>
      <c r="Y3" s="36"/>
      <c r="AA3">
        <f>PreTenB</f>
        <v>944</v>
      </c>
      <c r="AE3" s="36" t="e" cm="1">
        <f t="array" ref="AE3">SUMPRODUCT(--(AA5:AA244 = AE5:AE244)) = ROWS(AA5:AA244)</f>
        <v>#N/A</v>
      </c>
      <c r="AF3" s="9"/>
      <c r="AG3" s="9" t="str">
        <f>C4&amp;" LTen"</f>
        <v>Max LTen</v>
      </c>
      <c r="AH3" s="31" t="s">
        <v>42</v>
      </c>
      <c r="AI3" s="10" t="s">
        <v>39</v>
      </c>
      <c r="AJ3" s="10" t="s">
        <v>40</v>
      </c>
      <c r="AK3" s="6" t="s">
        <v>41</v>
      </c>
    </row>
    <row r="4" spans="1:37" x14ac:dyDescent="0.25">
      <c r="A4" s="55"/>
      <c r="B4" s="35" t="s">
        <v>21</v>
      </c>
      <c r="C4" s="35" t="s">
        <v>24</v>
      </c>
      <c r="D4" s="35" t="s">
        <v>22</v>
      </c>
      <c r="E4" s="35" t="s">
        <v>43</v>
      </c>
      <c r="F4" s="35" t="s">
        <v>44</v>
      </c>
      <c r="G4" s="35" t="s">
        <v>21</v>
      </c>
      <c r="H4" s="35" t="s">
        <v>24</v>
      </c>
      <c r="I4" s="35" t="s">
        <v>44</v>
      </c>
      <c r="J4" s="35" t="s">
        <v>21</v>
      </c>
      <c r="K4" s="35" t="s">
        <v>24</v>
      </c>
      <c r="L4" s="35" t="s">
        <v>21</v>
      </c>
      <c r="M4" s="35" t="s">
        <v>24</v>
      </c>
      <c r="N4" s="35" t="s">
        <v>21</v>
      </c>
      <c r="O4" s="35" t="s">
        <v>24</v>
      </c>
      <c r="P4" s="35" t="s">
        <v>21</v>
      </c>
      <c r="Q4" s="1" t="s">
        <v>22</v>
      </c>
      <c r="S4" s="11" t="s">
        <v>45</v>
      </c>
      <c r="T4" s="12" t="s">
        <v>46</v>
      </c>
      <c r="V4" s="13" t="s">
        <v>46</v>
      </c>
      <c r="W4" s="13" t="s">
        <v>46</v>
      </c>
      <c r="X4" s="7" t="s">
        <v>47</v>
      </c>
      <c r="Y4" s="36"/>
      <c r="AB4" s="24" t="s">
        <v>48</v>
      </c>
      <c r="AF4" s="11" t="s">
        <v>45</v>
      </c>
      <c r="AG4" s="12" t="s">
        <v>46</v>
      </c>
      <c r="AH4" s="32" t="s">
        <v>49</v>
      </c>
      <c r="AI4" s="13" t="s">
        <v>46</v>
      </c>
      <c r="AJ4" s="13" t="s">
        <v>46</v>
      </c>
      <c r="AK4" s="7" t="s">
        <v>47</v>
      </c>
    </row>
    <row r="5" spans="1:3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2"/>
      <c r="Q5" s="3">
        <f t="shared" ref="Q5:Q68" si="0">MOD(ROW()-5,nSD)*12+INT((ROW()-5)/nSD)+1</f>
        <v>1</v>
      </c>
      <c r="R5" s="36">
        <f>MOD(INT((ROW()-5)/3),7)*12+INT((ROW()-5)/(nSD))+1</f>
        <v>1</v>
      </c>
      <c r="S5" s="6" t="str" cm="1">
        <f t="array" aca="1" ref="S5" ca="1">IFERROR(_xlfn.TEXTBEFORE(_xlfn.TEXTAFTER(_xlfn.TEXTBEFORE(_xlfn.TEXTAFTER(INDIRECT(S$2&amp;(ROW()-5)*nSD+5),"\",-2),"\",-1),"_",1),"_",-1),"")</f>
        <v/>
      </c>
      <c r="T5" s="9" t="e">
        <f t="shared" ref="T5:T16" ca="1" si="1">AVERAGE(INDIRECT(T$2&amp;(ROW()-5)*nSD+5&amp;":"&amp;T$2&amp;(ROW()-4)*nSD+"4"))</f>
        <v>#DIV/0!</v>
      </c>
      <c r="V5" s="10" t="e">
        <f t="shared" ref="V5:X16" ca="1" si="2">AVERAGE(INDIRECT(V$2&amp;(ROW()-5)*nSD+5&amp;":"&amp;V$2&amp;(ROW()-4)*nSD+"4"))</f>
        <v>#DIV/0!</v>
      </c>
      <c r="W5" s="10" t="e">
        <f t="shared" ca="1" si="2"/>
        <v>#DIV/0!</v>
      </c>
      <c r="X5" s="6" t="e">
        <f t="shared" ca="1" si="2"/>
        <v>#DIV/0!</v>
      </c>
      <c r="Y5" s="41" t="str" cm="1">
        <f t="array" aca="1" ref="Y5" ca="1">IFERROR(_xlfn.TEXTBEFORE(_xlfn.TEXTAFTER(_xlfn.TEXTBEFORE(_xlfn.TEXTAFTER(INDIRECT(Y$2&amp;(ROW()-5)*nSD+5),"\",-2),"\",-1),"_",1),"_",-1),"")</f>
        <v/>
      </c>
      <c r="Z5" t="e" cm="1">
        <f t="array" ref="Z5">_xlfn.STDEV.P(AA5:AA25)*_gamma_corr</f>
        <v>#N/A</v>
      </c>
      <c r="AA5" s="2" t="e">
        <f t="array" ref="AA5">_xlfn.XLOOKUP(1,(INDEX(SFactors,,2)=10^LEFT(A5,1))*(INDEX(SFactors,,3)=(LEN(A5)-LEN(SUBSTITUTE(A5,"_","")))),INDEX(SFactors,,4))*PreTenB+(C5-PreTenB)*_xlfn.XLOOKUP(1,(INDEX(SFactors,,2)=10^LEFT(A5,1))*(INDEX(SFactors,,3)=(LEN(A5)-LEN(SUBSTITUTE(A5,"_","")))),INDEX(SFactors,,5))</f>
        <v>#N/A</v>
      </c>
      <c r="AB5" s="25" t="e">
        <f>AA5/MBL</f>
        <v>#N/A</v>
      </c>
      <c r="AC5" s="2" t="e">
        <f t="array" ref="AC5">_xlfn.XLOOKUP(1,
    (INDEX(SFactors,,2)=10^LEFT(A5,1)) *
    (INDEX(SFactors,,3)=(LEN(A5)-LEN(SUBSTITUTE(A5,"_","")))),
    INDEX(SFactors,,4)
)</f>
        <v>#N/A</v>
      </c>
      <c r="AD5" t="e">
        <f t="array" ref="AD5">_xlfn.XLOOKUP(1,(INDEX(SFactors,,2)=10^LEFT(A5,1))*(INDEX(SFactors,,3)=(LEN(A5)-LEN(SUBSTITUTE(A5,"_","")))),INDEX(SFactors,,5))</f>
        <v>#N/A</v>
      </c>
      <c r="AE5" t="e">
        <f t="shared" ref="AE5:AE68" si="3">PreTenB*AC5+(C5-PreTenB)*AD5</f>
        <v>#N/A</v>
      </c>
      <c r="AF5" s="9" cm="1">
        <f t="array" aca="1" ref="AF5" ca="1">INDIRECT(AF$2&amp;(ROW()-5)*nSD+5)</f>
        <v>0</v>
      </c>
      <c r="AG5" s="15" t="e" cm="1">
        <f t="array" aca="1" ref="AG5" ca="1">AVERAGE(INDIRECT(AG$2&amp;(ROW()-5)*nSD+5&amp;":"&amp;AG$2&amp;(ROW()-4)*nSD+4))-_xlfn.STDEV.P(INDIRECT(AG$2&amp;(ROW()-5)*nSD+5&amp;":"&amp;AG$2&amp;(ROW()-4)*nSD+4))*_gamma_corr</f>
        <v>#N/A</v>
      </c>
      <c r="AH5" s="15" t="e" cm="1">
        <f t="array" aca="1" ref="AH5" ca="1">AVERAGE(INDIRECT(AH$2&amp;(ROW()-5)*nSD+5&amp;":"&amp;AH$2&amp;(ROW()-4)*nSD+4))-_xlfn.STDEV.P(INDIRECT(AH$2&amp;(ROW()-5)*nSD+5&amp;":"&amp;AH$2&amp;(ROW()-4)*nSD+4))*_gamma_corr</f>
        <v>#N/A</v>
      </c>
      <c r="AI5" s="16" t="e" cm="1">
        <f t="array" aca="1" ref="AI5" ca="1">AVERAGE(INDIRECT(AI$2&amp;(ROW()-5)*nSD+5&amp;":"&amp;AI$2&amp;(ROW()-4)*nSD+4))-_xlfn.STDEV.P(INDIRECT(AI$2&amp;(ROW()-5)*nSD+5&amp;":"&amp;AI$2&amp;(ROW()-4)*nSD+4))*_gamma_corr</f>
        <v>#DIV/0!</v>
      </c>
      <c r="AJ5" s="16" t="e" cm="1">
        <f t="array" aca="1" ref="AJ5" ca="1">AVERAGE(INDIRECT(AJ$2&amp;(ROW()-5)*nSD+5&amp;":"&amp;AJ$2&amp;(ROW()-4)*nSD+4))-_xlfn.STDEV.P(INDIRECT(AJ$2&amp;(ROW()-5)*nSD+5&amp;":"&amp;AJ$2&amp;(ROW()-4)*nSD+4))*_gamma_corr</f>
        <v>#DIV/0!</v>
      </c>
      <c r="AK5" s="17" t="e" cm="1">
        <f t="array" aca="1" ref="AK5" ca="1">AVERAGE(INDIRECT(AK$2&amp;(ROW()-5)*nSD+5&amp;":"&amp;AK$2&amp;(ROW()-4)*nSD+4))-_xlfn.STDEV.P(INDIRECT(AK$2&amp;(ROW()-5)*nSD+5&amp;":"&amp;AK$2&amp;(ROW()-4)*nSD+4))*_gamma_corr</f>
        <v>#DIV/0!</v>
      </c>
    </row>
    <row r="6" spans="1:37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2"/>
      <c r="Q6" s="3">
        <f t="shared" si="0"/>
        <v>13</v>
      </c>
      <c r="R6" s="36">
        <f t="shared" ref="R6:R69" si="4">MOD(INT((ROW()-5)/3),7)*12+INT((ROW()-5)/(nSD))+1</f>
        <v>1</v>
      </c>
      <c r="S6" s="34" t="str" cm="1">
        <f t="array" aca="1" ref="S6" ca="1">IFERROR(_xlfn.TEXTBEFORE(_xlfn.TEXTAFTER(_xlfn.TEXTBEFORE(_xlfn.TEXTAFTER(INDIRECT(S$2&amp;(ROW()-5)*nSD+5),"\",-2),"\",-1),"_",1),"_",-1),"")</f>
        <v/>
      </c>
      <c r="T6" s="14" t="e">
        <f t="shared" ca="1" si="1"/>
        <v>#DIV/0!</v>
      </c>
      <c r="V6" s="3" t="e">
        <f t="shared" ca="1" si="2"/>
        <v>#DIV/0!</v>
      </c>
      <c r="W6" s="3" t="e">
        <f t="shared" ca="1" si="2"/>
        <v>#DIV/0!</v>
      </c>
      <c r="X6" s="34" t="e">
        <f t="shared" ca="1" si="2"/>
        <v>#DIV/0!</v>
      </c>
      <c r="Y6" s="41" t="str" cm="1">
        <f t="array" aca="1" ref="Y6" ca="1">IFERROR(_xlfn.TEXTBEFORE(_xlfn.TEXTAFTER(_xlfn.TEXTBEFORE(_xlfn.TEXTAFTER(INDIRECT(Y$2&amp;(ROW()-5)*nSD+5),"\",-2),"\",-1),"_",1),"_",-1),"")</f>
        <v/>
      </c>
      <c r="AA6" s="2" t="e">
        <f t="array" ref="AA6">_xlfn.XLOOKUP(1,(INDEX(SFactors,,2)=10^LEFT(A6,1))*(INDEX(SFactors,,3)=(LEN(A6)-LEN(SUBSTITUTE(A6,"_","")))),INDEX(SFactors,,4))*PreTenB+(C6-PreTenB)*_xlfn.XLOOKUP(1,(INDEX(SFactors,,2)=10^LEFT(A6,1))*(INDEX(SFactors,,3)=(LEN(A6)-LEN(SUBSTITUTE(A6,"_","")))),INDEX(SFactors,,5))</f>
        <v>#N/A</v>
      </c>
      <c r="AB6" s="25" t="e">
        <f t="shared" ref="AB6:AB244" si="5">AA6/MBL</f>
        <v>#N/A</v>
      </c>
      <c r="AC6" s="2" t="e">
        <f t="array" ref="AC6">_xlfn.XLOOKUP(1,
    (INDEX(SFactors,,2)=10^LEFT(A6,1)) *
    (INDEX(SFactors,,3)=(LEN(A6)-LEN(SUBSTITUTE(A6,"_","")))),
    INDEX(SFactors,,4)
)</f>
        <v>#N/A</v>
      </c>
      <c r="AD6" s="3" t="e">
        <f t="array" ref="AD6">_xlfn.XLOOKUP(1,(INDEX(SFactors,,2)=10^LEFT(A6,1))*(INDEX(SFactors,,3)=(LEN(A6)-LEN(SUBSTITUTE(A6,"_","")))),INDEX(SFactors,,5))</f>
        <v>#N/A</v>
      </c>
      <c r="AE6" s="3" t="e">
        <f t="shared" si="3"/>
        <v>#N/A</v>
      </c>
      <c r="AF6" s="14" cm="1">
        <f t="array" aca="1" ref="AF6" ca="1">INDIRECT(AF$2&amp;(ROW()-5)*nSD+5)</f>
        <v>0</v>
      </c>
      <c r="AG6" s="18" t="e" cm="1">
        <f t="array" aca="1" ref="AG6" ca="1">AVERAGE(INDIRECT(AG$2&amp;(ROW()-5)*nSD+5&amp;":"&amp;AG$2&amp;(ROW()-4)*nSD+4))-_xlfn.STDEV.P(INDIRECT(AG$2&amp;(ROW()-5)*nSD+5&amp;":"&amp;AG$2&amp;(ROW()-4)*nSD+4))*_gamma_corr</f>
        <v>#N/A</v>
      </c>
      <c r="AH6" s="18" t="e" cm="1">
        <f t="array" aca="1" ref="AH6" ca="1">AVERAGE(INDIRECT(AH$2&amp;(ROW()-5)*nSD+5&amp;":"&amp;AH$2&amp;(ROW()-4)*nSD+4))-_xlfn.STDEV.P(INDIRECT(AH$2&amp;(ROW()-5)*nSD+5&amp;":"&amp;AH$2&amp;(ROW()-4)*nSD+4))*_gamma_corr</f>
        <v>#N/A</v>
      </c>
      <c r="AI6" s="19" t="e" cm="1">
        <f t="array" aca="1" ref="AI6" ca="1">AVERAGE(INDIRECT(AI$2&amp;(ROW()-5)*nSD+5&amp;":"&amp;AI$2&amp;(ROW()-4)*nSD+4))-_xlfn.STDEV.P(INDIRECT(AI$2&amp;(ROW()-5)*nSD+5&amp;":"&amp;AI$2&amp;(ROW()-4)*nSD+4))*_gamma_corr</f>
        <v>#DIV/0!</v>
      </c>
      <c r="AJ6" s="19" t="e" cm="1">
        <f t="array" aca="1" ref="AJ6" ca="1">AVERAGE(INDIRECT(AJ$2&amp;(ROW()-5)*nSD+5&amp;":"&amp;AJ$2&amp;(ROW()-4)*nSD+4))-_xlfn.STDEV.P(INDIRECT(AJ$2&amp;(ROW()-5)*nSD+5&amp;":"&amp;AJ$2&amp;(ROW()-4)*nSD+4))*_gamma_corr</f>
        <v>#DIV/0!</v>
      </c>
      <c r="AK6" s="20" t="e" cm="1">
        <f t="array" aca="1" ref="AK6" ca="1">AVERAGE(INDIRECT(AK$2&amp;(ROW()-5)*nSD+5&amp;":"&amp;AK$2&amp;(ROW()-4)*nSD+4))-_xlfn.STDEV.P(INDIRECT(AK$2&amp;(ROW()-5)*nSD+5&amp;":"&amp;AK$2&amp;(ROW()-4)*nSD+4))*_gamma_corr</f>
        <v>#DIV/0!</v>
      </c>
    </row>
    <row r="7" spans="1:37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2"/>
      <c r="Q7" s="3">
        <f t="shared" si="0"/>
        <v>25</v>
      </c>
      <c r="R7" s="36">
        <f t="shared" si="4"/>
        <v>1</v>
      </c>
      <c r="S7" s="34" t="str" cm="1">
        <f t="array" aca="1" ref="S7" ca="1">IFERROR(_xlfn.TEXTBEFORE(_xlfn.TEXTAFTER(_xlfn.TEXTBEFORE(_xlfn.TEXTAFTER(INDIRECT(S$2&amp;(ROW()-5)*nSD+5),"\",-2),"\",-1),"_",1),"_",-1),"")</f>
        <v/>
      </c>
      <c r="T7" s="14" t="e">
        <f t="shared" ca="1" si="1"/>
        <v>#DIV/0!</v>
      </c>
      <c r="V7" s="3" t="e">
        <f t="shared" ca="1" si="2"/>
        <v>#DIV/0!</v>
      </c>
      <c r="W7" s="3" t="e">
        <f t="shared" ca="1" si="2"/>
        <v>#DIV/0!</v>
      </c>
      <c r="X7" s="34" t="e">
        <f t="shared" ca="1" si="2"/>
        <v>#DIV/0!</v>
      </c>
      <c r="Y7" s="41" t="str" cm="1">
        <f t="array" aca="1" ref="Y7" ca="1">IFERROR(_xlfn.TEXTBEFORE(_xlfn.TEXTAFTER(_xlfn.TEXTBEFORE(_xlfn.TEXTAFTER(INDIRECT(Y$2&amp;(ROW()-5)*nSD+5),"\",-2),"\",-1),"_",1),"_",-1),"")</f>
        <v/>
      </c>
      <c r="AA7" s="2" t="e">
        <f t="array" ref="AA7">_xlfn.XLOOKUP(1,(INDEX(SFactors,,2)=10^LEFT(A7,1))*(INDEX(SFactors,,3)=(LEN(A7)-LEN(SUBSTITUTE(A7,"_","")))),INDEX(SFactors,,4))*PreTenB+(C7-PreTenB)*_xlfn.XLOOKUP(1,(INDEX(SFactors,,2)=10^LEFT(A7,1))*(INDEX(SFactors,,3)=(LEN(A7)-LEN(SUBSTITUTE(A7,"_","")))),INDEX(SFactors,,5))</f>
        <v>#N/A</v>
      </c>
      <c r="AB7" s="25" t="e">
        <f t="shared" si="5"/>
        <v>#N/A</v>
      </c>
      <c r="AC7" s="2" t="e">
        <f t="array" ref="AC7">_xlfn.XLOOKUP(1,
    (INDEX(SFactors,,2)=10^LEFT(A7,1)) *
    (INDEX(SFactors,,3)=(LEN(A7)-LEN(SUBSTITUTE(A7,"_","")))),
    INDEX(SFactors,,4)
)</f>
        <v>#N/A</v>
      </c>
      <c r="AD7" s="3" t="e">
        <f t="array" ref="AD7">_xlfn.XLOOKUP(1,(INDEX(SFactors,,2)=10^LEFT(A7,1))*(INDEX(SFactors,,3)=(LEN(A7)-LEN(SUBSTITUTE(A7,"_","")))),INDEX(SFactors,,5))</f>
        <v>#N/A</v>
      </c>
      <c r="AE7" s="3" t="e">
        <f t="shared" si="3"/>
        <v>#N/A</v>
      </c>
      <c r="AF7" s="14" cm="1">
        <f t="array" aca="1" ref="AF7" ca="1">INDIRECT(AF$2&amp;(ROW()-5)*nSD+5)</f>
        <v>0</v>
      </c>
      <c r="AG7" s="18" t="e" cm="1">
        <f t="array" aca="1" ref="AG7" ca="1">AVERAGE(INDIRECT(AG$2&amp;(ROW()-5)*nSD+5&amp;":"&amp;AG$2&amp;(ROW()-4)*nSD+4))-_xlfn.STDEV.P(INDIRECT(AG$2&amp;(ROW()-5)*nSD+5&amp;":"&amp;AG$2&amp;(ROW()-4)*nSD+4))*_gamma_corr</f>
        <v>#N/A</v>
      </c>
      <c r="AH7" s="18" t="e" cm="1">
        <f t="array" aca="1" ref="AH7" ca="1">AVERAGE(INDIRECT(AH$2&amp;(ROW()-5)*nSD+5&amp;":"&amp;AH$2&amp;(ROW()-4)*nSD+4))-_xlfn.STDEV.P(INDIRECT(AH$2&amp;(ROW()-5)*nSD+5&amp;":"&amp;AH$2&amp;(ROW()-4)*nSD+4))*_gamma_corr</f>
        <v>#N/A</v>
      </c>
      <c r="AI7" s="19" t="e" cm="1">
        <f t="array" aca="1" ref="AI7" ca="1">AVERAGE(INDIRECT(AI$2&amp;(ROW()-5)*nSD+5&amp;":"&amp;AI$2&amp;(ROW()-4)*nSD+4))-_xlfn.STDEV.P(INDIRECT(AI$2&amp;(ROW()-5)*nSD+5&amp;":"&amp;AI$2&amp;(ROW()-4)*nSD+4))*_gamma_corr</f>
        <v>#DIV/0!</v>
      </c>
      <c r="AJ7" s="19" t="e" cm="1">
        <f t="array" aca="1" ref="AJ7" ca="1">AVERAGE(INDIRECT(AJ$2&amp;(ROW()-5)*nSD+5&amp;":"&amp;AJ$2&amp;(ROW()-4)*nSD+4))-_xlfn.STDEV.P(INDIRECT(AJ$2&amp;(ROW()-5)*nSD+5&amp;":"&amp;AJ$2&amp;(ROW()-4)*nSD+4))*_gamma_corr</f>
        <v>#DIV/0!</v>
      </c>
      <c r="AK7" s="20" t="e" cm="1">
        <f t="array" aca="1" ref="AK7" ca="1">AVERAGE(INDIRECT(AK$2&amp;(ROW()-5)*nSD+5&amp;":"&amp;AK$2&amp;(ROW()-4)*nSD+4))-_xlfn.STDEV.P(INDIRECT(AK$2&amp;(ROW()-5)*nSD+5&amp;":"&amp;AK$2&amp;(ROW()-4)*nSD+4))*_gamma_corr</f>
        <v>#DIV/0!</v>
      </c>
    </row>
    <row r="8" spans="1:37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2"/>
      <c r="Q8" s="3">
        <f t="shared" si="0"/>
        <v>37</v>
      </c>
      <c r="R8" s="36">
        <f t="shared" si="4"/>
        <v>13</v>
      </c>
      <c r="S8" s="34" t="str" cm="1">
        <f t="array" aca="1" ref="S8" ca="1">IFERROR(_xlfn.TEXTBEFORE(_xlfn.TEXTAFTER(_xlfn.TEXTBEFORE(_xlfn.TEXTAFTER(INDIRECT(S$2&amp;(ROW()-5)*nSD+5),"\",-2),"\",-1),"_",1),"_",-1),"")</f>
        <v/>
      </c>
      <c r="T8" s="14" t="e">
        <f t="shared" ca="1" si="1"/>
        <v>#DIV/0!</v>
      </c>
      <c r="V8" s="3" t="e">
        <f t="shared" ca="1" si="2"/>
        <v>#DIV/0!</v>
      </c>
      <c r="W8" s="3" t="e">
        <f t="shared" ca="1" si="2"/>
        <v>#DIV/0!</v>
      </c>
      <c r="X8" s="34" t="e">
        <f t="shared" ca="1" si="2"/>
        <v>#DIV/0!</v>
      </c>
      <c r="Y8" s="41" t="str" cm="1">
        <f t="array" aca="1" ref="Y8" ca="1">IFERROR(_xlfn.TEXTBEFORE(_xlfn.TEXTAFTER(_xlfn.TEXTBEFORE(_xlfn.TEXTAFTER(INDIRECT(Y$2&amp;(ROW()-5)*nSD+5),"\",-2),"\",-1),"_",1),"_",-1),"")</f>
        <v/>
      </c>
      <c r="AA8" s="2" t="e">
        <f t="array" ref="AA8">_xlfn.XLOOKUP(1,(INDEX(SFactors,,2)=10^LEFT(A8,1))*(INDEX(SFactors,,3)=(LEN(A8)-LEN(SUBSTITUTE(A8,"_","")))),INDEX(SFactors,,4))*PreTenB+(C8-PreTenB)*_xlfn.XLOOKUP(1,(INDEX(SFactors,,2)=10^LEFT(A8,1))*(INDEX(SFactors,,3)=(LEN(A8)-LEN(SUBSTITUTE(A8,"_","")))),INDEX(SFactors,,5))</f>
        <v>#N/A</v>
      </c>
      <c r="AB8" s="25" t="e">
        <f t="shared" si="5"/>
        <v>#N/A</v>
      </c>
      <c r="AC8" s="2" t="e">
        <f t="array" ref="AC8">_xlfn.XLOOKUP(1,
    (INDEX(SFactors,,2)=10^LEFT(A8,1)) *
    (INDEX(SFactors,,3)=(LEN(A8)-LEN(SUBSTITUTE(A8,"_","")))),
    INDEX(SFactors,,4)
)</f>
        <v>#N/A</v>
      </c>
      <c r="AD8" s="3" t="e">
        <f t="array" ref="AD8">_xlfn.XLOOKUP(1,(INDEX(SFactors,,2)=10^LEFT(A8,1))*(INDEX(SFactors,,3)=(LEN(A8)-LEN(SUBSTITUTE(A8,"_","")))),INDEX(SFactors,,5))</f>
        <v>#N/A</v>
      </c>
      <c r="AE8" s="3" t="e">
        <f t="shared" si="3"/>
        <v>#N/A</v>
      </c>
      <c r="AF8" s="14" cm="1">
        <f t="array" aca="1" ref="AF8" ca="1">INDIRECT(AF$2&amp;(ROW()-5)*nSD+5)</f>
        <v>0</v>
      </c>
      <c r="AG8" s="18" t="e" cm="1">
        <f t="array" aca="1" ref="AG8" ca="1">AVERAGE(INDIRECT(AG$2&amp;(ROW()-5)*nSD+5&amp;":"&amp;AG$2&amp;(ROW()-4)*nSD+4))-_xlfn.STDEV.P(INDIRECT(AG$2&amp;(ROW()-5)*nSD+5&amp;":"&amp;AG$2&amp;(ROW()-4)*nSD+4))*_gamma_corr</f>
        <v>#N/A</v>
      </c>
      <c r="AH8" s="18" t="e" cm="1">
        <f t="array" aca="1" ref="AH8" ca="1">AVERAGE(INDIRECT(AH$2&amp;(ROW()-5)*nSD+5&amp;":"&amp;AH$2&amp;(ROW()-4)*nSD+4))-_xlfn.STDEV.P(INDIRECT(AH$2&amp;(ROW()-5)*nSD+5&amp;":"&amp;AH$2&amp;(ROW()-4)*nSD+4))*_gamma_corr</f>
        <v>#N/A</v>
      </c>
      <c r="AI8" s="19" t="e" cm="1">
        <f t="array" aca="1" ref="AI8" ca="1">AVERAGE(INDIRECT(AI$2&amp;(ROW()-5)*nSD+5&amp;":"&amp;AI$2&amp;(ROW()-4)*nSD+4))-_xlfn.STDEV.P(INDIRECT(AI$2&amp;(ROW()-5)*nSD+5&amp;":"&amp;AI$2&amp;(ROW()-4)*nSD+4))*_gamma_corr</f>
        <v>#DIV/0!</v>
      </c>
      <c r="AJ8" s="19" t="e" cm="1">
        <f t="array" aca="1" ref="AJ8" ca="1">AVERAGE(INDIRECT(AJ$2&amp;(ROW()-5)*nSD+5&amp;":"&amp;AJ$2&amp;(ROW()-4)*nSD+4))-_xlfn.STDEV.P(INDIRECT(AJ$2&amp;(ROW()-5)*nSD+5&amp;":"&amp;AJ$2&amp;(ROW()-4)*nSD+4))*_gamma_corr</f>
        <v>#DIV/0!</v>
      </c>
      <c r="AK8" s="20" t="e" cm="1">
        <f t="array" aca="1" ref="AK8" ca="1">AVERAGE(INDIRECT(AK$2&amp;(ROW()-5)*nSD+5&amp;":"&amp;AK$2&amp;(ROW()-4)*nSD+4))-_xlfn.STDEV.P(INDIRECT(AK$2&amp;(ROW()-5)*nSD+5&amp;":"&amp;AK$2&amp;(ROW()-4)*nSD+4))*_gamma_corr</f>
        <v>#DIV/0!</v>
      </c>
    </row>
    <row r="9" spans="1:3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2"/>
      <c r="Q9" s="3">
        <f t="shared" si="0"/>
        <v>49</v>
      </c>
      <c r="R9" s="36">
        <f t="shared" si="4"/>
        <v>13</v>
      </c>
      <c r="S9" s="34" t="str" cm="1">
        <f t="array" aca="1" ref="S9" ca="1">IFERROR(_xlfn.TEXTBEFORE(_xlfn.TEXTAFTER(_xlfn.TEXTBEFORE(_xlfn.TEXTAFTER(INDIRECT(S$2&amp;(ROW()-5)*nSD+5),"\",-2),"\",-1),"_",1),"_",-1),"")</f>
        <v/>
      </c>
      <c r="T9" s="14" t="e">
        <f t="shared" ca="1" si="1"/>
        <v>#DIV/0!</v>
      </c>
      <c r="V9" s="3" t="e">
        <f t="shared" ca="1" si="2"/>
        <v>#DIV/0!</v>
      </c>
      <c r="W9" s="3" t="e">
        <f t="shared" ca="1" si="2"/>
        <v>#DIV/0!</v>
      </c>
      <c r="X9" s="34" t="e">
        <f t="shared" ca="1" si="2"/>
        <v>#DIV/0!</v>
      </c>
      <c r="Y9" s="41" t="str" cm="1">
        <f t="array" aca="1" ref="Y9" ca="1">IFERROR(_xlfn.TEXTBEFORE(_xlfn.TEXTAFTER(_xlfn.TEXTBEFORE(_xlfn.TEXTAFTER(INDIRECT(Y$2&amp;(ROW()-5)*nSD+5),"\",-2),"\",-1),"_",1),"_",-1),"")</f>
        <v/>
      </c>
      <c r="AA9" s="2" t="e">
        <f t="array" ref="AA9">_xlfn.XLOOKUP(1,(INDEX(SFactors,,2)=10^LEFT(A9,1))*(INDEX(SFactors,,3)=(LEN(A9)-LEN(SUBSTITUTE(A9,"_","")))),INDEX(SFactors,,4))*PreTenB+(C9-PreTenB)*_xlfn.XLOOKUP(1,(INDEX(SFactors,,2)=10^LEFT(A9,1))*(INDEX(SFactors,,3)=(LEN(A9)-LEN(SUBSTITUTE(A9,"_","")))),INDEX(SFactors,,5))</f>
        <v>#N/A</v>
      </c>
      <c r="AB9" s="25" t="e">
        <f t="shared" si="5"/>
        <v>#N/A</v>
      </c>
      <c r="AC9" s="2" t="e">
        <f t="array" ref="AC9">_xlfn.XLOOKUP(1,
    (INDEX(SFactors,,2)=10^LEFT(A9,1)) *
    (INDEX(SFactors,,3)=(LEN(A9)-LEN(SUBSTITUTE(A9,"_","")))),
    INDEX(SFactors,,4)
)</f>
        <v>#N/A</v>
      </c>
      <c r="AD9" s="3" t="e">
        <f t="array" ref="AD9">_xlfn.XLOOKUP(1,(INDEX(SFactors,,2)=10^LEFT(A9,1))*(INDEX(SFactors,,3)=(LEN(A9)-LEN(SUBSTITUTE(A9,"_","")))),INDEX(SFactors,,5))</f>
        <v>#N/A</v>
      </c>
      <c r="AE9" s="3" t="e">
        <f t="shared" si="3"/>
        <v>#N/A</v>
      </c>
      <c r="AF9" s="14" cm="1">
        <f t="array" aca="1" ref="AF9" ca="1">INDIRECT(AF$2&amp;(ROW()-5)*nSD+5)</f>
        <v>0</v>
      </c>
      <c r="AG9" s="18" t="e" cm="1">
        <f t="array" aca="1" ref="AG9" ca="1">AVERAGE(INDIRECT(AG$2&amp;(ROW()-5)*nSD+5&amp;":"&amp;AG$2&amp;(ROW()-4)*nSD+4))-_xlfn.STDEV.P(INDIRECT(AG$2&amp;(ROW()-5)*nSD+5&amp;":"&amp;AG$2&amp;(ROW()-4)*nSD+4))*_gamma_corr</f>
        <v>#N/A</v>
      </c>
      <c r="AH9" s="18" t="e" cm="1">
        <f t="array" aca="1" ref="AH9" ca="1">AVERAGE(INDIRECT(AH$2&amp;(ROW()-5)*nSD+5&amp;":"&amp;AH$2&amp;(ROW()-4)*nSD+4))-_xlfn.STDEV.P(INDIRECT(AH$2&amp;(ROW()-5)*nSD+5&amp;":"&amp;AH$2&amp;(ROW()-4)*nSD+4))*_gamma_corr</f>
        <v>#N/A</v>
      </c>
      <c r="AI9" s="19" t="e" cm="1">
        <f t="array" aca="1" ref="AI9" ca="1">AVERAGE(INDIRECT(AI$2&amp;(ROW()-5)*nSD+5&amp;":"&amp;AI$2&amp;(ROW()-4)*nSD+4))-_xlfn.STDEV.P(INDIRECT(AI$2&amp;(ROW()-5)*nSD+5&amp;":"&amp;AI$2&amp;(ROW()-4)*nSD+4))*_gamma_corr</f>
        <v>#DIV/0!</v>
      </c>
      <c r="AJ9" s="19" t="e" cm="1">
        <f t="array" aca="1" ref="AJ9" ca="1">AVERAGE(INDIRECT(AJ$2&amp;(ROW()-5)*nSD+5&amp;":"&amp;AJ$2&amp;(ROW()-4)*nSD+4))-_xlfn.STDEV.P(INDIRECT(AJ$2&amp;(ROW()-5)*nSD+5&amp;":"&amp;AJ$2&amp;(ROW()-4)*nSD+4))*_gamma_corr</f>
        <v>#DIV/0!</v>
      </c>
      <c r="AK9" s="20" t="e" cm="1">
        <f t="array" aca="1" ref="AK9" ca="1">AVERAGE(INDIRECT(AK$2&amp;(ROW()-5)*nSD+5&amp;":"&amp;AK$2&amp;(ROW()-4)*nSD+4))-_xlfn.STDEV.P(INDIRECT(AK$2&amp;(ROW()-5)*nSD+5&amp;":"&amp;AK$2&amp;(ROW()-4)*nSD+4))*_gamma_corr</f>
        <v>#DIV/0!</v>
      </c>
    </row>
    <row r="10" spans="1:37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2"/>
      <c r="Q10" s="3">
        <f t="shared" si="0"/>
        <v>61</v>
      </c>
      <c r="R10" s="36">
        <f t="shared" si="4"/>
        <v>13</v>
      </c>
      <c r="S10" s="34" t="str" cm="1">
        <f t="array" aca="1" ref="S10" ca="1">IFERROR(_xlfn.TEXTBEFORE(_xlfn.TEXTAFTER(_xlfn.TEXTBEFORE(_xlfn.TEXTAFTER(INDIRECT(S$2&amp;(ROW()-5)*nSD+5),"\",-2),"\",-1),"_",1),"_",-1),"")</f>
        <v/>
      </c>
      <c r="T10" s="14" t="e">
        <f t="shared" ca="1" si="1"/>
        <v>#DIV/0!</v>
      </c>
      <c r="V10" s="3" t="e">
        <f t="shared" ca="1" si="2"/>
        <v>#DIV/0!</v>
      </c>
      <c r="W10" s="3" t="e">
        <f t="shared" ca="1" si="2"/>
        <v>#DIV/0!</v>
      </c>
      <c r="X10" s="34" t="e">
        <f t="shared" ca="1" si="2"/>
        <v>#DIV/0!</v>
      </c>
      <c r="Y10" s="41" t="str" cm="1">
        <f t="array" aca="1" ref="Y10" ca="1">IFERROR(_xlfn.TEXTBEFORE(_xlfn.TEXTAFTER(_xlfn.TEXTBEFORE(_xlfn.TEXTAFTER(INDIRECT(Y$2&amp;(ROW()-5)*nSD+5),"\",-2),"\",-1),"_",1),"_",-1),"")</f>
        <v/>
      </c>
      <c r="AA10" s="2" t="e">
        <f t="array" ref="AA10">_xlfn.XLOOKUP(1,(INDEX(SFactors,,2)=10^LEFT(A10,1))*(INDEX(SFactors,,3)=(LEN(A10)-LEN(SUBSTITUTE(A10,"_","")))),INDEX(SFactors,,4))*PreTenB+(C10-PreTenB)*_xlfn.XLOOKUP(1,(INDEX(SFactors,,2)=10^LEFT(A10,1))*(INDEX(SFactors,,3)=(LEN(A10)-LEN(SUBSTITUTE(A10,"_","")))),INDEX(SFactors,,5))</f>
        <v>#N/A</v>
      </c>
      <c r="AB10" s="25" t="e">
        <f t="shared" si="5"/>
        <v>#N/A</v>
      </c>
      <c r="AC10" s="2" t="e">
        <f t="array" ref="AC10">_xlfn.XLOOKUP(1,
    (INDEX(SFactors,,2)=10^LEFT(A10,1)) *
    (INDEX(SFactors,,3)=(LEN(A10)-LEN(SUBSTITUTE(A10,"_","")))),
    INDEX(SFactors,,4)
)</f>
        <v>#N/A</v>
      </c>
      <c r="AD10" s="3" t="e">
        <f t="array" ref="AD10">_xlfn.XLOOKUP(1,(INDEX(SFactors,,2)=10^LEFT(A10,1))*(INDEX(SFactors,,3)=(LEN(A10)-LEN(SUBSTITUTE(A10,"_","")))),INDEX(SFactors,,5))</f>
        <v>#N/A</v>
      </c>
      <c r="AE10" s="3" t="e">
        <f t="shared" si="3"/>
        <v>#N/A</v>
      </c>
      <c r="AF10" s="14" cm="1">
        <f t="array" aca="1" ref="AF10" ca="1">INDIRECT(AF$2&amp;(ROW()-5)*nSD+5)</f>
        <v>0</v>
      </c>
      <c r="AG10" s="18" t="e" cm="1">
        <f t="array" aca="1" ref="AG10" ca="1">AVERAGE(INDIRECT(AG$2&amp;(ROW()-5)*nSD+5&amp;":"&amp;AG$2&amp;(ROW()-4)*nSD+4))-_xlfn.STDEV.P(INDIRECT(AG$2&amp;(ROW()-5)*nSD+5&amp;":"&amp;AG$2&amp;(ROW()-4)*nSD+4))*_gamma_corr</f>
        <v>#N/A</v>
      </c>
      <c r="AH10" s="18" t="e" cm="1">
        <f t="array" aca="1" ref="AH10" ca="1">AVERAGE(INDIRECT(AH$2&amp;(ROW()-5)*nSD+5&amp;":"&amp;AH$2&amp;(ROW()-4)*nSD+4))-_xlfn.STDEV.P(INDIRECT(AH$2&amp;(ROW()-5)*nSD+5&amp;":"&amp;AH$2&amp;(ROW()-4)*nSD+4))*_gamma_corr</f>
        <v>#N/A</v>
      </c>
      <c r="AI10" s="19" t="e" cm="1">
        <f t="array" aca="1" ref="AI10" ca="1">AVERAGE(INDIRECT(AI$2&amp;(ROW()-5)*nSD+5&amp;":"&amp;AI$2&amp;(ROW()-4)*nSD+4))-_xlfn.STDEV.P(INDIRECT(AI$2&amp;(ROW()-5)*nSD+5&amp;":"&amp;AI$2&amp;(ROW()-4)*nSD+4))*_gamma_corr</f>
        <v>#DIV/0!</v>
      </c>
      <c r="AJ10" s="19" t="e" cm="1">
        <f t="array" aca="1" ref="AJ10" ca="1">AVERAGE(INDIRECT(AJ$2&amp;(ROW()-5)*nSD+5&amp;":"&amp;AJ$2&amp;(ROW()-4)*nSD+4))-_xlfn.STDEV.P(INDIRECT(AJ$2&amp;(ROW()-5)*nSD+5&amp;":"&amp;AJ$2&amp;(ROW()-4)*nSD+4))*_gamma_corr</f>
        <v>#DIV/0!</v>
      </c>
      <c r="AK10" s="20" t="e" cm="1">
        <f t="array" aca="1" ref="AK10" ca="1">AVERAGE(INDIRECT(AK$2&amp;(ROW()-5)*nSD+5&amp;":"&amp;AK$2&amp;(ROW()-4)*nSD+4))-_xlfn.STDEV.P(INDIRECT(AK$2&amp;(ROW()-5)*nSD+5&amp;":"&amp;AK$2&amp;(ROW()-4)*nSD+4))*_gamma_corr</f>
        <v>#DIV/0!</v>
      </c>
    </row>
    <row r="11" spans="1:3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"/>
      <c r="Q11" s="3">
        <f t="shared" si="0"/>
        <v>73</v>
      </c>
      <c r="R11" s="36">
        <f t="shared" si="4"/>
        <v>25</v>
      </c>
      <c r="S11" s="34" t="str" cm="1">
        <f t="array" aca="1" ref="S11" ca="1">IFERROR(_xlfn.TEXTBEFORE(_xlfn.TEXTAFTER(_xlfn.TEXTBEFORE(_xlfn.TEXTAFTER(INDIRECT(S$2&amp;(ROW()-5)*nSD+5),"\",-2),"\",-1),"_",1),"_",-1),"")</f>
        <v/>
      </c>
      <c r="T11" s="14" t="e">
        <f t="shared" ca="1" si="1"/>
        <v>#DIV/0!</v>
      </c>
      <c r="V11" s="3" t="e">
        <f t="shared" ca="1" si="2"/>
        <v>#DIV/0!</v>
      </c>
      <c r="W11" s="3" t="e">
        <f t="shared" ca="1" si="2"/>
        <v>#DIV/0!</v>
      </c>
      <c r="X11" s="34" t="e">
        <f t="shared" ca="1" si="2"/>
        <v>#DIV/0!</v>
      </c>
      <c r="Y11" s="41" t="str" cm="1">
        <f t="array" aca="1" ref="Y11" ca="1">IFERROR(_xlfn.TEXTBEFORE(_xlfn.TEXTAFTER(_xlfn.TEXTBEFORE(_xlfn.TEXTAFTER(INDIRECT(Y$2&amp;(ROW()-5)*nSD+5),"\",-2),"\",-1),"_",1),"_",-1),"")</f>
        <v/>
      </c>
      <c r="AA11" s="2" t="e">
        <f t="array" ref="AA11">_xlfn.XLOOKUP(1,(INDEX(SFactors,,2)=10^LEFT(A11,1))*(INDEX(SFactors,,3)=(LEN(A11)-LEN(SUBSTITUTE(A11,"_","")))),INDEX(SFactors,,4))*PreTenB+(C11-PreTenB)*_xlfn.XLOOKUP(1,(INDEX(SFactors,,2)=10^LEFT(A11,1))*(INDEX(SFactors,,3)=(LEN(A11)-LEN(SUBSTITUTE(A11,"_","")))),INDEX(SFactors,,5))</f>
        <v>#N/A</v>
      </c>
      <c r="AB11" s="25" t="e">
        <f t="shared" si="5"/>
        <v>#N/A</v>
      </c>
      <c r="AC11" s="2" t="e">
        <f t="array" ref="AC11">_xlfn.XLOOKUP(1,
    (INDEX(SFactors,,2)=10^LEFT(A11,1)) *
    (INDEX(SFactors,,3)=(LEN(A11)-LEN(SUBSTITUTE(A11,"_","")))),
    INDEX(SFactors,,4)
)</f>
        <v>#N/A</v>
      </c>
      <c r="AD11" s="3" t="e">
        <f t="array" ref="AD11">_xlfn.XLOOKUP(1,(INDEX(SFactors,,2)=10^LEFT(A11,1))*(INDEX(SFactors,,3)=(LEN(A11)-LEN(SUBSTITUTE(A11,"_","")))),INDEX(SFactors,,5))</f>
        <v>#N/A</v>
      </c>
      <c r="AE11" s="3" t="e">
        <f t="shared" si="3"/>
        <v>#N/A</v>
      </c>
      <c r="AF11" s="14" cm="1">
        <f t="array" aca="1" ref="AF11" ca="1">INDIRECT(AF$2&amp;(ROW()-5)*nSD+5)</f>
        <v>0</v>
      </c>
      <c r="AG11" s="18" t="e" cm="1">
        <f t="array" aca="1" ref="AG11" ca="1">AVERAGE(INDIRECT(AG$2&amp;(ROW()-5)*nSD+5&amp;":"&amp;AG$2&amp;(ROW()-4)*nSD+4))-_xlfn.STDEV.P(INDIRECT(AG$2&amp;(ROW()-5)*nSD+5&amp;":"&amp;AG$2&amp;(ROW()-4)*nSD+4))*_gamma_corr</f>
        <v>#N/A</v>
      </c>
      <c r="AH11" s="18" t="e" cm="1">
        <f t="array" aca="1" ref="AH11" ca="1">AVERAGE(INDIRECT(AH$2&amp;(ROW()-5)*nSD+5&amp;":"&amp;AH$2&amp;(ROW()-4)*nSD+4))-_xlfn.STDEV.P(INDIRECT(AH$2&amp;(ROW()-5)*nSD+5&amp;":"&amp;AH$2&amp;(ROW()-4)*nSD+4))*_gamma_corr</f>
        <v>#N/A</v>
      </c>
      <c r="AI11" s="19" t="e" cm="1">
        <f t="array" aca="1" ref="AI11" ca="1">AVERAGE(INDIRECT(AI$2&amp;(ROW()-5)*nSD+5&amp;":"&amp;AI$2&amp;(ROW()-4)*nSD+4))-_xlfn.STDEV.P(INDIRECT(AI$2&amp;(ROW()-5)*nSD+5&amp;":"&amp;AI$2&amp;(ROW()-4)*nSD+4))*_gamma_corr</f>
        <v>#DIV/0!</v>
      </c>
      <c r="AJ11" s="19" t="e" cm="1">
        <f t="array" aca="1" ref="AJ11" ca="1">AVERAGE(INDIRECT(AJ$2&amp;(ROW()-5)*nSD+5&amp;":"&amp;AJ$2&amp;(ROW()-4)*nSD+4))-_xlfn.STDEV.P(INDIRECT(AJ$2&amp;(ROW()-5)*nSD+5&amp;":"&amp;AJ$2&amp;(ROW()-4)*nSD+4))*_gamma_corr</f>
        <v>#DIV/0!</v>
      </c>
      <c r="AK11" s="20" t="e" cm="1">
        <f t="array" aca="1" ref="AK11" ca="1">AVERAGE(INDIRECT(AK$2&amp;(ROW()-5)*nSD+5&amp;":"&amp;AK$2&amp;(ROW()-4)*nSD+4))-_xlfn.STDEV.P(INDIRECT(AK$2&amp;(ROW()-5)*nSD+5&amp;":"&amp;AK$2&amp;(ROW()-4)*nSD+4))*_gamma_corr</f>
        <v>#DIV/0!</v>
      </c>
    </row>
    <row r="12" spans="1:37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2"/>
      <c r="Q12" s="3">
        <f t="shared" si="0"/>
        <v>85</v>
      </c>
      <c r="R12" s="36">
        <f t="shared" si="4"/>
        <v>25</v>
      </c>
      <c r="S12" s="34" t="str" cm="1">
        <f t="array" aca="1" ref="S12" ca="1">IFERROR(_xlfn.TEXTBEFORE(_xlfn.TEXTAFTER(_xlfn.TEXTBEFORE(_xlfn.TEXTAFTER(INDIRECT(S$2&amp;(ROW()-5)*nSD+5),"\",-2),"\",-1),"_",1),"_",-1),"")</f>
        <v/>
      </c>
      <c r="T12" s="14" t="e">
        <f t="shared" ca="1" si="1"/>
        <v>#DIV/0!</v>
      </c>
      <c r="V12" s="3" t="e">
        <f t="shared" ca="1" si="2"/>
        <v>#DIV/0!</v>
      </c>
      <c r="W12" s="3" t="e">
        <f t="shared" ca="1" si="2"/>
        <v>#DIV/0!</v>
      </c>
      <c r="X12" s="34" t="e">
        <f t="shared" ca="1" si="2"/>
        <v>#DIV/0!</v>
      </c>
      <c r="Y12" s="41" t="str" cm="1">
        <f t="array" aca="1" ref="Y12" ca="1">IFERROR(_xlfn.TEXTBEFORE(_xlfn.TEXTAFTER(_xlfn.TEXTBEFORE(_xlfn.TEXTAFTER(INDIRECT(Y$2&amp;(ROW()-5)*nSD+5),"\",-2),"\",-1),"_",1),"_",-1),"")</f>
        <v/>
      </c>
      <c r="AA12" s="2" t="e">
        <f t="array" ref="AA12">_xlfn.XLOOKUP(1,(INDEX(SFactors,,2)=10^LEFT(A12,1))*(INDEX(SFactors,,3)=(LEN(A12)-LEN(SUBSTITUTE(A12,"_","")))),INDEX(SFactors,,4))*PreTenB+(C12-PreTenB)*_xlfn.XLOOKUP(1,(INDEX(SFactors,,2)=10^LEFT(A12,1))*(INDEX(SFactors,,3)=(LEN(A12)-LEN(SUBSTITUTE(A12,"_","")))),INDEX(SFactors,,5))</f>
        <v>#N/A</v>
      </c>
      <c r="AB12" s="25" t="e">
        <f t="shared" si="5"/>
        <v>#N/A</v>
      </c>
      <c r="AC12" s="2" t="e">
        <f t="array" ref="AC12">_xlfn.XLOOKUP(1,
    (INDEX(SFactors,,2)=10^LEFT(A12,1)) *
    (INDEX(SFactors,,3)=(LEN(A12)-LEN(SUBSTITUTE(A12,"_","")))),
    INDEX(SFactors,,4)
)</f>
        <v>#N/A</v>
      </c>
      <c r="AD12" s="3" t="e">
        <f t="array" ref="AD12">_xlfn.XLOOKUP(1,(INDEX(SFactors,,2)=10^LEFT(A12,1))*(INDEX(SFactors,,3)=(LEN(A12)-LEN(SUBSTITUTE(A12,"_","")))),INDEX(SFactors,,5))</f>
        <v>#N/A</v>
      </c>
      <c r="AE12" s="3" t="e">
        <f t="shared" si="3"/>
        <v>#N/A</v>
      </c>
      <c r="AF12" s="14" cm="1">
        <f t="array" aca="1" ref="AF12" ca="1">INDIRECT(AF$2&amp;(ROW()-5)*nSD+5)</f>
        <v>0</v>
      </c>
      <c r="AG12" s="18" t="e" cm="1">
        <f t="array" aca="1" ref="AG12" ca="1">AVERAGE(INDIRECT(AG$2&amp;(ROW()-5)*nSD+5&amp;":"&amp;AG$2&amp;(ROW()-4)*nSD+4))-_xlfn.STDEV.P(INDIRECT(AG$2&amp;(ROW()-5)*nSD+5&amp;":"&amp;AG$2&amp;(ROW()-4)*nSD+4))*_gamma_corr</f>
        <v>#N/A</v>
      </c>
      <c r="AH12" s="18" t="e" cm="1">
        <f t="array" aca="1" ref="AH12" ca="1">AVERAGE(INDIRECT(AH$2&amp;(ROW()-5)*nSD+5&amp;":"&amp;AH$2&amp;(ROW()-4)*nSD+4))-_xlfn.STDEV.P(INDIRECT(AH$2&amp;(ROW()-5)*nSD+5&amp;":"&amp;AH$2&amp;(ROW()-4)*nSD+4))*_gamma_corr</f>
        <v>#N/A</v>
      </c>
      <c r="AI12" s="19" t="e" cm="1">
        <f t="array" aca="1" ref="AI12" ca="1">AVERAGE(INDIRECT(AI$2&amp;(ROW()-5)*nSD+5&amp;":"&amp;AI$2&amp;(ROW()-4)*nSD+4))-_xlfn.STDEV.P(INDIRECT(AI$2&amp;(ROW()-5)*nSD+5&amp;":"&amp;AI$2&amp;(ROW()-4)*nSD+4))*_gamma_corr</f>
        <v>#DIV/0!</v>
      </c>
      <c r="AJ12" s="19" t="e" cm="1">
        <f t="array" aca="1" ref="AJ12" ca="1">AVERAGE(INDIRECT(AJ$2&amp;(ROW()-5)*nSD+5&amp;":"&amp;AJ$2&amp;(ROW()-4)*nSD+4))-_xlfn.STDEV.P(INDIRECT(AJ$2&amp;(ROW()-5)*nSD+5&amp;":"&amp;AJ$2&amp;(ROW()-4)*nSD+4))*_gamma_corr</f>
        <v>#DIV/0!</v>
      </c>
      <c r="AK12" s="20" t="e" cm="1">
        <f t="array" aca="1" ref="AK12" ca="1">AVERAGE(INDIRECT(AK$2&amp;(ROW()-5)*nSD+5&amp;":"&amp;AK$2&amp;(ROW()-4)*nSD+4))-_xlfn.STDEV.P(INDIRECT(AK$2&amp;(ROW()-5)*nSD+5&amp;":"&amp;AK$2&amp;(ROW()-4)*nSD+4))*_gamma_corr</f>
        <v>#DIV/0!</v>
      </c>
    </row>
    <row r="13" spans="1:3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2"/>
      <c r="Q13" s="3">
        <f t="shared" si="0"/>
        <v>97</v>
      </c>
      <c r="R13" s="36">
        <f t="shared" si="4"/>
        <v>25</v>
      </c>
      <c r="S13" s="34" t="str" cm="1">
        <f t="array" aca="1" ref="S13" ca="1">IFERROR(_xlfn.TEXTBEFORE(_xlfn.TEXTAFTER(_xlfn.TEXTBEFORE(_xlfn.TEXTAFTER(INDIRECT(S$2&amp;(ROW()-5)*nSD+5),"\",-2),"\",-1),"_",1),"_",-1),"")</f>
        <v/>
      </c>
      <c r="T13" s="14" t="e">
        <f t="shared" ca="1" si="1"/>
        <v>#DIV/0!</v>
      </c>
      <c r="V13" s="3" t="e">
        <f t="shared" ca="1" si="2"/>
        <v>#DIV/0!</v>
      </c>
      <c r="W13" s="3" t="e">
        <f t="shared" ca="1" si="2"/>
        <v>#DIV/0!</v>
      </c>
      <c r="X13" s="34" t="e">
        <f t="shared" ca="1" si="2"/>
        <v>#DIV/0!</v>
      </c>
      <c r="Y13" s="41" t="str" cm="1">
        <f t="array" aca="1" ref="Y13" ca="1">IFERROR(_xlfn.TEXTBEFORE(_xlfn.TEXTAFTER(_xlfn.TEXTBEFORE(_xlfn.TEXTAFTER(INDIRECT(Y$2&amp;(ROW()-5)*nSD+5),"\",-2),"\",-1),"_",1),"_",-1),"")</f>
        <v/>
      </c>
      <c r="AA13" s="2" t="e">
        <f t="array" ref="AA13">_xlfn.XLOOKUP(1,(INDEX(SFactors,,2)=10^LEFT(A13,1))*(INDEX(SFactors,,3)=(LEN(A13)-LEN(SUBSTITUTE(A13,"_","")))),INDEX(SFactors,,4))*PreTenB+(C13-PreTenB)*_xlfn.XLOOKUP(1,(INDEX(SFactors,,2)=10^LEFT(A13,1))*(INDEX(SFactors,,3)=(LEN(A13)-LEN(SUBSTITUTE(A13,"_","")))),INDEX(SFactors,,5))</f>
        <v>#N/A</v>
      </c>
      <c r="AB13" s="25" t="e">
        <f t="shared" si="5"/>
        <v>#N/A</v>
      </c>
      <c r="AC13" s="2" t="e">
        <f t="array" ref="AC13">_xlfn.XLOOKUP(1,
    (INDEX(SFactors,,2)=10^LEFT(A13,1)) *
    (INDEX(SFactors,,3)=(LEN(A13)-LEN(SUBSTITUTE(A13,"_","")))),
    INDEX(SFactors,,4)
)</f>
        <v>#N/A</v>
      </c>
      <c r="AD13" s="3" t="e">
        <f t="array" ref="AD13">_xlfn.XLOOKUP(1,(INDEX(SFactors,,2)=10^LEFT(A13,1))*(INDEX(SFactors,,3)=(LEN(A13)-LEN(SUBSTITUTE(A13,"_","")))),INDEX(SFactors,,5))</f>
        <v>#N/A</v>
      </c>
      <c r="AE13" s="3" t="e">
        <f t="shared" si="3"/>
        <v>#N/A</v>
      </c>
      <c r="AF13" s="14" cm="1">
        <f t="array" aca="1" ref="AF13" ca="1">INDIRECT(AF$2&amp;(ROW()-5)*nSD+5)</f>
        <v>0</v>
      </c>
      <c r="AG13" s="18" t="e" cm="1">
        <f t="array" aca="1" ref="AG13" ca="1">AVERAGE(INDIRECT(AG$2&amp;(ROW()-5)*nSD+5&amp;":"&amp;AG$2&amp;(ROW()-4)*nSD+4))-_xlfn.STDEV.P(INDIRECT(AG$2&amp;(ROW()-5)*nSD+5&amp;":"&amp;AG$2&amp;(ROW()-4)*nSD+4))*_gamma_corr</f>
        <v>#N/A</v>
      </c>
      <c r="AH13" s="18" t="e" cm="1">
        <f t="array" aca="1" ref="AH13" ca="1">AVERAGE(INDIRECT(AH$2&amp;(ROW()-5)*nSD+5&amp;":"&amp;AH$2&amp;(ROW()-4)*nSD+4))-_xlfn.STDEV.P(INDIRECT(AH$2&amp;(ROW()-5)*nSD+5&amp;":"&amp;AH$2&amp;(ROW()-4)*nSD+4))*_gamma_corr</f>
        <v>#N/A</v>
      </c>
      <c r="AI13" s="19" t="e" cm="1">
        <f t="array" aca="1" ref="AI13" ca="1">AVERAGE(INDIRECT(AI$2&amp;(ROW()-5)*nSD+5&amp;":"&amp;AI$2&amp;(ROW()-4)*nSD+4))-_xlfn.STDEV.P(INDIRECT(AI$2&amp;(ROW()-5)*nSD+5&amp;":"&amp;AI$2&amp;(ROW()-4)*nSD+4))*_gamma_corr</f>
        <v>#DIV/0!</v>
      </c>
      <c r="AJ13" s="19" t="e" cm="1">
        <f t="array" aca="1" ref="AJ13" ca="1">AVERAGE(INDIRECT(AJ$2&amp;(ROW()-5)*nSD+5&amp;":"&amp;AJ$2&amp;(ROW()-4)*nSD+4))-_xlfn.STDEV.P(INDIRECT(AJ$2&amp;(ROW()-5)*nSD+5&amp;":"&amp;AJ$2&amp;(ROW()-4)*nSD+4))*_gamma_corr</f>
        <v>#DIV/0!</v>
      </c>
      <c r="AK13" s="20" t="e" cm="1">
        <f t="array" aca="1" ref="AK13" ca="1">AVERAGE(INDIRECT(AK$2&amp;(ROW()-5)*nSD+5&amp;":"&amp;AK$2&amp;(ROW()-4)*nSD+4))-_xlfn.STDEV.P(INDIRECT(AK$2&amp;(ROW()-5)*nSD+5&amp;":"&amp;AK$2&amp;(ROW()-4)*nSD+4))*_gamma_corr</f>
        <v>#DIV/0!</v>
      </c>
    </row>
    <row r="14" spans="1:37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"/>
      <c r="Q14" s="3">
        <f t="shared" si="0"/>
        <v>109</v>
      </c>
      <c r="R14" s="36">
        <f t="shared" si="4"/>
        <v>37</v>
      </c>
      <c r="S14" s="34" t="str" cm="1">
        <f t="array" aca="1" ref="S14" ca="1">IFERROR(_xlfn.TEXTBEFORE(_xlfn.TEXTAFTER(_xlfn.TEXTBEFORE(_xlfn.TEXTAFTER(INDIRECT(S$2&amp;(ROW()-5)*nSD+5),"\",-2),"\",-1),"_",1),"_",-1),"")</f>
        <v/>
      </c>
      <c r="T14" s="14" t="e">
        <f t="shared" ca="1" si="1"/>
        <v>#DIV/0!</v>
      </c>
      <c r="V14" s="3" t="e">
        <f t="shared" ca="1" si="2"/>
        <v>#DIV/0!</v>
      </c>
      <c r="W14" s="3" t="e">
        <f t="shared" ca="1" si="2"/>
        <v>#DIV/0!</v>
      </c>
      <c r="X14" s="34" t="e">
        <f t="shared" ca="1" si="2"/>
        <v>#DIV/0!</v>
      </c>
      <c r="Y14" s="41" t="str" cm="1">
        <f t="array" aca="1" ref="Y14" ca="1">IFERROR(_xlfn.TEXTBEFORE(_xlfn.TEXTAFTER(_xlfn.TEXTBEFORE(_xlfn.TEXTAFTER(INDIRECT(Y$2&amp;(ROW()-5)*nSD+5),"\",-2),"\",-1),"_",1),"_",-1),"")</f>
        <v/>
      </c>
      <c r="AA14" s="2" t="e">
        <f t="array" ref="AA14">_xlfn.XLOOKUP(1,(INDEX(SFactors,,2)=10^LEFT(A14,1))*(INDEX(SFactors,,3)=(LEN(A14)-LEN(SUBSTITUTE(A14,"_","")))),INDEX(SFactors,,4))*PreTenB+(C14-PreTenB)*_xlfn.XLOOKUP(1,(INDEX(SFactors,,2)=10^LEFT(A14,1))*(INDEX(SFactors,,3)=(LEN(A14)-LEN(SUBSTITUTE(A14,"_","")))),INDEX(SFactors,,5))</f>
        <v>#N/A</v>
      </c>
      <c r="AB14" s="25" t="e">
        <f t="shared" si="5"/>
        <v>#N/A</v>
      </c>
      <c r="AC14" s="2" t="e">
        <f t="array" ref="AC14">_xlfn.XLOOKUP(1,
    (INDEX(SFactors,,2)=10^LEFT(A14,1)) *
    (INDEX(SFactors,,3)=(LEN(A14)-LEN(SUBSTITUTE(A14,"_","")))),
    INDEX(SFactors,,4)
)</f>
        <v>#N/A</v>
      </c>
      <c r="AD14" s="3" t="e">
        <f t="array" ref="AD14">_xlfn.XLOOKUP(1,(INDEX(SFactors,,2)=10^LEFT(A14,1))*(INDEX(SFactors,,3)=(LEN(A14)-LEN(SUBSTITUTE(A14,"_","")))),INDEX(SFactors,,5))</f>
        <v>#N/A</v>
      </c>
      <c r="AE14" s="3" t="e">
        <f t="shared" si="3"/>
        <v>#N/A</v>
      </c>
      <c r="AF14" s="14" cm="1">
        <f t="array" aca="1" ref="AF14" ca="1">INDIRECT(AF$2&amp;(ROW()-5)*nSD+5)</f>
        <v>0</v>
      </c>
      <c r="AG14" s="18" t="e" cm="1">
        <f t="array" aca="1" ref="AG14" ca="1">AVERAGE(INDIRECT(AG$2&amp;(ROW()-5)*nSD+5&amp;":"&amp;AG$2&amp;(ROW()-4)*nSD+4))-_xlfn.STDEV.P(INDIRECT(AG$2&amp;(ROW()-5)*nSD+5&amp;":"&amp;AG$2&amp;(ROW()-4)*nSD+4))*_gamma_corr</f>
        <v>#N/A</v>
      </c>
      <c r="AH14" s="18" t="e" cm="1">
        <f t="array" aca="1" ref="AH14" ca="1">AVERAGE(INDIRECT(AH$2&amp;(ROW()-5)*nSD+5&amp;":"&amp;AH$2&amp;(ROW()-4)*nSD+4))-_xlfn.STDEV.P(INDIRECT(AH$2&amp;(ROW()-5)*nSD+5&amp;":"&amp;AH$2&amp;(ROW()-4)*nSD+4))*_gamma_corr</f>
        <v>#N/A</v>
      </c>
      <c r="AI14" s="19" t="e" cm="1">
        <f t="array" aca="1" ref="AI14" ca="1">AVERAGE(INDIRECT(AI$2&amp;(ROW()-5)*nSD+5&amp;":"&amp;AI$2&amp;(ROW()-4)*nSD+4))-_xlfn.STDEV.P(INDIRECT(AI$2&amp;(ROW()-5)*nSD+5&amp;":"&amp;AI$2&amp;(ROW()-4)*nSD+4))*_gamma_corr</f>
        <v>#DIV/0!</v>
      </c>
      <c r="AJ14" s="19" t="e" cm="1">
        <f t="array" aca="1" ref="AJ14" ca="1">AVERAGE(INDIRECT(AJ$2&amp;(ROW()-5)*nSD+5&amp;":"&amp;AJ$2&amp;(ROW()-4)*nSD+4))-_xlfn.STDEV.P(INDIRECT(AJ$2&amp;(ROW()-5)*nSD+5&amp;":"&amp;AJ$2&amp;(ROW()-4)*nSD+4))*_gamma_corr</f>
        <v>#DIV/0!</v>
      </c>
      <c r="AK14" s="20" t="e" cm="1">
        <f t="array" aca="1" ref="AK14" ca="1">AVERAGE(INDIRECT(AK$2&amp;(ROW()-5)*nSD+5&amp;":"&amp;AK$2&amp;(ROW()-4)*nSD+4))-_xlfn.STDEV.P(INDIRECT(AK$2&amp;(ROW()-5)*nSD+5&amp;":"&amp;AK$2&amp;(ROW()-4)*nSD+4))*_gamma_corr</f>
        <v>#DIV/0!</v>
      </c>
    </row>
    <row r="15" spans="1:3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"/>
      <c r="Q15" s="3">
        <f t="shared" si="0"/>
        <v>121</v>
      </c>
      <c r="R15" s="36">
        <f t="shared" si="4"/>
        <v>37</v>
      </c>
      <c r="S15" s="34" t="str" cm="1">
        <f t="array" aca="1" ref="S15" ca="1">IFERROR(_xlfn.TEXTBEFORE(_xlfn.TEXTAFTER(_xlfn.TEXTBEFORE(_xlfn.TEXTAFTER(INDIRECT(S$2&amp;(ROW()-5)*nSD+5),"\",-2),"\",-1),"_",1),"_",-1),"")</f>
        <v/>
      </c>
      <c r="T15" s="14" t="e">
        <f t="shared" ca="1" si="1"/>
        <v>#DIV/0!</v>
      </c>
      <c r="V15" s="3" t="e">
        <f t="shared" ca="1" si="2"/>
        <v>#DIV/0!</v>
      </c>
      <c r="W15" s="3" t="e">
        <f t="shared" ca="1" si="2"/>
        <v>#DIV/0!</v>
      </c>
      <c r="X15" s="34" t="e">
        <f t="shared" ca="1" si="2"/>
        <v>#DIV/0!</v>
      </c>
      <c r="Y15" s="41" t="str" cm="1">
        <f t="array" aca="1" ref="Y15" ca="1">IFERROR(_xlfn.TEXTBEFORE(_xlfn.TEXTAFTER(_xlfn.TEXTBEFORE(_xlfn.TEXTAFTER(INDIRECT(Y$2&amp;(ROW()-5)*nSD+5),"\",-2),"\",-1),"_",1),"_",-1),"")</f>
        <v/>
      </c>
      <c r="AA15" s="2" t="e">
        <f t="array" ref="AA15">_xlfn.XLOOKUP(1,(INDEX(SFactors,,2)=10^LEFT(A15,1))*(INDEX(SFactors,,3)=(LEN(A15)-LEN(SUBSTITUTE(A15,"_","")))),INDEX(SFactors,,4))*PreTenB+(C15-PreTenB)*_xlfn.XLOOKUP(1,(INDEX(SFactors,,2)=10^LEFT(A15,1))*(INDEX(SFactors,,3)=(LEN(A15)-LEN(SUBSTITUTE(A15,"_","")))),INDEX(SFactors,,5))</f>
        <v>#N/A</v>
      </c>
      <c r="AB15" s="25" t="e">
        <f t="shared" si="5"/>
        <v>#N/A</v>
      </c>
      <c r="AC15" s="2" t="e">
        <f t="array" ref="AC15">_xlfn.XLOOKUP(1,
    (INDEX(SFactors,,2)=10^LEFT(A15,1)) *
    (INDEX(SFactors,,3)=(LEN(A15)-LEN(SUBSTITUTE(A15,"_","")))),
    INDEX(SFactors,,4)
)</f>
        <v>#N/A</v>
      </c>
      <c r="AD15" s="3" t="e">
        <f t="array" ref="AD15">_xlfn.XLOOKUP(1,(INDEX(SFactors,,2)=10^LEFT(A15,1))*(INDEX(SFactors,,3)=(LEN(A15)-LEN(SUBSTITUTE(A15,"_","")))),INDEX(SFactors,,5))</f>
        <v>#N/A</v>
      </c>
      <c r="AE15" s="3" t="e">
        <f t="shared" si="3"/>
        <v>#N/A</v>
      </c>
      <c r="AF15" s="14" cm="1">
        <f t="array" aca="1" ref="AF15" ca="1">INDIRECT(AF$2&amp;(ROW()-5)*nSD+5)</f>
        <v>0</v>
      </c>
      <c r="AG15" s="18" t="e" cm="1">
        <f t="array" aca="1" ref="AG15" ca="1">AVERAGE(INDIRECT(AG$2&amp;(ROW()-5)*nSD+5&amp;":"&amp;AG$2&amp;(ROW()-4)*nSD+4))-_xlfn.STDEV.P(INDIRECT(AG$2&amp;(ROW()-5)*nSD+5&amp;":"&amp;AG$2&amp;(ROW()-4)*nSD+4))*_gamma_corr</f>
        <v>#N/A</v>
      </c>
      <c r="AH15" s="18" t="e" cm="1">
        <f t="array" aca="1" ref="AH15" ca="1">AVERAGE(INDIRECT(AH$2&amp;(ROW()-5)*nSD+5&amp;":"&amp;AH$2&amp;(ROW()-4)*nSD+4))-_xlfn.STDEV.P(INDIRECT(AH$2&amp;(ROW()-5)*nSD+5&amp;":"&amp;AH$2&amp;(ROW()-4)*nSD+4))*_gamma_corr</f>
        <v>#N/A</v>
      </c>
      <c r="AI15" s="19" t="e" cm="1">
        <f t="array" aca="1" ref="AI15" ca="1">AVERAGE(INDIRECT(AI$2&amp;(ROW()-5)*nSD+5&amp;":"&amp;AI$2&amp;(ROW()-4)*nSD+4))-_xlfn.STDEV.P(INDIRECT(AI$2&amp;(ROW()-5)*nSD+5&amp;":"&amp;AI$2&amp;(ROW()-4)*nSD+4))*_gamma_corr</f>
        <v>#DIV/0!</v>
      </c>
      <c r="AJ15" s="19" t="e" cm="1">
        <f t="array" aca="1" ref="AJ15" ca="1">AVERAGE(INDIRECT(AJ$2&amp;(ROW()-5)*nSD+5&amp;":"&amp;AJ$2&amp;(ROW()-4)*nSD+4))-_xlfn.STDEV.P(INDIRECT(AJ$2&amp;(ROW()-5)*nSD+5&amp;":"&amp;AJ$2&amp;(ROW()-4)*nSD+4))*_gamma_corr</f>
        <v>#DIV/0!</v>
      </c>
      <c r="AK15" s="20" t="e" cm="1">
        <f t="array" aca="1" ref="AK15" ca="1">AVERAGE(INDIRECT(AK$2&amp;(ROW()-5)*nSD+5&amp;":"&amp;AK$2&amp;(ROW()-4)*nSD+4))-_xlfn.STDEV.P(INDIRECT(AK$2&amp;(ROW()-5)*nSD+5&amp;":"&amp;AK$2&amp;(ROW()-4)*nSD+4))*_gamma_corr</f>
        <v>#DIV/0!</v>
      </c>
    </row>
    <row r="16" spans="1:37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"/>
      <c r="Q16" s="3">
        <f t="shared" si="0"/>
        <v>133</v>
      </c>
      <c r="R16" s="36">
        <f t="shared" si="4"/>
        <v>37</v>
      </c>
      <c r="S16" s="7" t="str" cm="1">
        <f t="array" aca="1" ref="S16" ca="1">IFERROR(_xlfn.TEXTBEFORE(_xlfn.TEXTAFTER(_xlfn.TEXTBEFORE(_xlfn.TEXTAFTER(INDIRECT(S$2&amp;(ROW()-5)*nSD+5),"\",-2),"\",-1),"_",1),"_",-1),"")</f>
        <v/>
      </c>
      <c r="T16" s="12" t="e">
        <f t="shared" ca="1" si="1"/>
        <v>#DIV/0!</v>
      </c>
      <c r="V16" s="13" t="e">
        <f t="shared" ca="1" si="2"/>
        <v>#DIV/0!</v>
      </c>
      <c r="W16" s="13" t="e">
        <f t="shared" ca="1" si="2"/>
        <v>#DIV/0!</v>
      </c>
      <c r="X16" s="7" t="e">
        <f t="shared" ca="1" si="2"/>
        <v>#DIV/0!</v>
      </c>
      <c r="Y16" s="41" t="str" cm="1">
        <f t="array" aca="1" ref="Y16" ca="1">IFERROR(_xlfn.TEXTBEFORE(_xlfn.TEXTAFTER(_xlfn.TEXTBEFORE(_xlfn.TEXTAFTER(INDIRECT(Y$2&amp;(ROW()-5)*nSD+5),"\",-2),"\",-1),"_",1),"_",-1),"")</f>
        <v/>
      </c>
      <c r="AA16" s="2" t="e">
        <f t="array" ref="AA16">_xlfn.XLOOKUP(1,(INDEX(SFactors,,2)=10^LEFT(A16,1))*(INDEX(SFactors,,3)=(LEN(A16)-LEN(SUBSTITUTE(A16,"_","")))),INDEX(SFactors,,4))*PreTenB+(C16-PreTenB)*_xlfn.XLOOKUP(1,(INDEX(SFactors,,2)=10^LEFT(A16,1))*(INDEX(SFactors,,3)=(LEN(A16)-LEN(SUBSTITUTE(A16,"_","")))),INDEX(SFactors,,5))</f>
        <v>#N/A</v>
      </c>
      <c r="AB16" s="25" t="e">
        <f t="shared" si="5"/>
        <v>#N/A</v>
      </c>
      <c r="AC16" s="2" t="e">
        <f t="array" ref="AC16">_xlfn.XLOOKUP(1,
    (INDEX(SFactors,,2)=10^LEFT(A16,1)) *
    (INDEX(SFactors,,3)=(LEN(A16)-LEN(SUBSTITUTE(A16,"_","")))),
    INDEX(SFactors,,4)
)</f>
        <v>#N/A</v>
      </c>
      <c r="AD16" s="3" t="e">
        <f t="array" ref="AD16">_xlfn.XLOOKUP(1,(INDEX(SFactors,,2)=10^LEFT(A16,1))*(INDEX(SFactors,,3)=(LEN(A16)-LEN(SUBSTITUTE(A16,"_","")))),INDEX(SFactors,,5))</f>
        <v>#N/A</v>
      </c>
      <c r="AE16" s="3" t="e">
        <f t="shared" si="3"/>
        <v>#N/A</v>
      </c>
      <c r="AF16" s="12" cm="1">
        <f t="array" aca="1" ref="AF16" ca="1">INDIRECT(AF$2&amp;(ROW()-5)*nSD+5)</f>
        <v>0</v>
      </c>
      <c r="AG16" s="21" t="e" cm="1">
        <f t="array" aca="1" ref="AG16" ca="1">AVERAGE(INDIRECT(AG$2&amp;(ROW()-5)*nSD+5&amp;":"&amp;AG$2&amp;(ROW()-4)*nSD+4))-_xlfn.STDEV.P(INDIRECT(AG$2&amp;(ROW()-5)*nSD+5&amp;":"&amp;AG$2&amp;(ROW()-4)*nSD+4))*_gamma_corr</f>
        <v>#N/A</v>
      </c>
      <c r="AH16" s="21" t="e" cm="1">
        <f t="array" aca="1" ref="AH16" ca="1">AVERAGE(INDIRECT(AH$2&amp;(ROW()-5)*nSD+5&amp;":"&amp;AH$2&amp;(ROW()-4)*nSD+4))-_xlfn.STDEV.P(INDIRECT(AH$2&amp;(ROW()-5)*nSD+5&amp;":"&amp;AH$2&amp;(ROW()-4)*nSD+4))*_gamma_corr</f>
        <v>#N/A</v>
      </c>
      <c r="AI16" s="22" t="e" cm="1">
        <f t="array" aca="1" ref="AI16" ca="1">AVERAGE(INDIRECT(AI$2&amp;(ROW()-5)*nSD+5&amp;":"&amp;AI$2&amp;(ROW()-4)*nSD+4))-_xlfn.STDEV.P(INDIRECT(AI$2&amp;(ROW()-5)*nSD+5&amp;":"&amp;AI$2&amp;(ROW()-4)*nSD+4))*_gamma_corr</f>
        <v>#DIV/0!</v>
      </c>
      <c r="AJ16" s="22" t="e" cm="1">
        <f t="array" aca="1" ref="AJ16" ca="1">AVERAGE(INDIRECT(AJ$2&amp;(ROW()-5)*nSD+5&amp;":"&amp;AJ$2&amp;(ROW()-4)*nSD+4))-_xlfn.STDEV.P(INDIRECT(AJ$2&amp;(ROW()-5)*nSD+5&amp;":"&amp;AJ$2&amp;(ROW()-4)*nSD+4))*_gamma_corr</f>
        <v>#DIV/0!</v>
      </c>
      <c r="AK16" s="23" t="e" cm="1">
        <f t="array" aca="1" ref="AK16" ca="1">AVERAGE(INDIRECT(AK$2&amp;(ROW()-5)*nSD+5&amp;":"&amp;AK$2&amp;(ROW()-4)*nSD+4))-_xlfn.STDEV.P(INDIRECT(AK$2&amp;(ROW()-5)*nSD+5&amp;":"&amp;AK$2&amp;(ROW()-4)*nSD+4))*_gamma_corr</f>
        <v>#DIV/0!</v>
      </c>
    </row>
    <row r="17" spans="1:3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"/>
      <c r="Q17" s="3">
        <f t="shared" si="0"/>
        <v>145</v>
      </c>
      <c r="R17" s="36">
        <f t="shared" si="4"/>
        <v>49</v>
      </c>
      <c r="S17"/>
      <c r="AA17" s="2" t="e">
        <f t="array" ref="AA17">_xlfn.XLOOKUP(1,(INDEX(SFactors,,2)=10^LEFT(A17,1))*(INDEX(SFactors,,3)=(LEN(A17)-LEN(SUBSTITUTE(A17,"_","")))),INDEX(SFactors,,4))*PreTenB+(C17-PreTenB)*_xlfn.XLOOKUP(1,(INDEX(SFactors,,2)=10^LEFT(A17,1))*(INDEX(SFactors,,3)=(LEN(A17)-LEN(SUBSTITUTE(A17,"_","")))),INDEX(SFactors,,5))</f>
        <v>#N/A</v>
      </c>
      <c r="AB17" s="25" t="e">
        <f t="shared" si="5"/>
        <v>#N/A</v>
      </c>
      <c r="AC17" s="2" t="e">
        <f t="array" ref="AC17">_xlfn.XLOOKUP(1,
    (INDEX(SFactors,,2)=10^LEFT(A17,1)) *
    (INDEX(SFactors,,3)=(LEN(A17)-LEN(SUBSTITUTE(A17,"_","")))),
    INDEX(SFactors,,4)
)</f>
        <v>#N/A</v>
      </c>
      <c r="AD17" s="3" t="e">
        <f t="array" ref="AD17">_xlfn.XLOOKUP(1,(INDEX(SFactors,,2)=10^LEFT(A17,1))*(INDEX(SFactors,,3)=(LEN(A17)-LEN(SUBSTITUTE(A17,"_","")))),INDEX(SFactors,,5))</f>
        <v>#N/A</v>
      </c>
      <c r="AE17" s="3" t="e">
        <f t="shared" si="3"/>
        <v>#N/A</v>
      </c>
    </row>
    <row r="18" spans="1:3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2"/>
      <c r="Q18" s="3">
        <f t="shared" si="0"/>
        <v>157</v>
      </c>
      <c r="R18" s="36">
        <f t="shared" si="4"/>
        <v>49</v>
      </c>
      <c r="S18"/>
      <c r="AA18" s="2" t="e">
        <f t="array" ref="AA18">_xlfn.XLOOKUP(1,(INDEX(SFactors,,2)=10^LEFT(A18,1))*(INDEX(SFactors,,3)=(LEN(A18)-LEN(SUBSTITUTE(A18,"_","")))),INDEX(SFactors,,4))*PreTenB+(C18-PreTenB)*_xlfn.XLOOKUP(1,(INDEX(SFactors,,2)=10^LEFT(A18,1))*(INDEX(SFactors,,3)=(LEN(A18)-LEN(SUBSTITUTE(A18,"_","")))),INDEX(SFactors,,5))</f>
        <v>#N/A</v>
      </c>
      <c r="AB18" s="25" t="e">
        <f t="shared" si="5"/>
        <v>#N/A</v>
      </c>
      <c r="AC18" s="2" t="e">
        <f t="array" ref="AC18">_xlfn.XLOOKUP(1,
    (INDEX(SFactors,,2)=10^LEFT(A18,1)) *
    (INDEX(SFactors,,3)=(LEN(A18)-LEN(SUBSTITUTE(A18,"_","")))),
    INDEX(SFactors,,4)
)</f>
        <v>#N/A</v>
      </c>
      <c r="AD18" s="3" t="e">
        <f t="array" ref="AD18">_xlfn.XLOOKUP(1,(INDEX(SFactors,,2)=10^LEFT(A18,1))*(INDEX(SFactors,,3)=(LEN(A18)-LEN(SUBSTITUTE(A18,"_","")))),INDEX(SFactors,,5))</f>
        <v>#N/A</v>
      </c>
      <c r="AE18" s="3" t="e">
        <f t="shared" si="3"/>
        <v>#N/A</v>
      </c>
      <c r="AF18" s="39" t="e">
        <f ca="1">AVERAGE(INDIRECT(AG$2&amp;(ROW()-18)*nSD+5&amp;":"&amp;AG$2&amp;(ROW()-17)*nSD+4))</f>
        <v>#N/A</v>
      </c>
      <c r="AG18" s="38" t="e" cm="1">
        <f t="array" aca="1" ref="AG18" ca="1">_xlfn.STDEV.P(INDIRECT(AG$2&amp;(ROW()-18)*nSD+5&amp;":"&amp;AG$2&amp;(ROW()-17)*nSD+4))*_gamma_corr</f>
        <v>#N/A</v>
      </c>
      <c r="AI18" s="19" t="e">
        <f ca="1">AF18-AG18</f>
        <v>#N/A</v>
      </c>
    </row>
    <row r="19" spans="1:3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2"/>
      <c r="Q19" s="3">
        <f t="shared" si="0"/>
        <v>169</v>
      </c>
      <c r="R19" s="36">
        <f t="shared" si="4"/>
        <v>49</v>
      </c>
      <c r="S19"/>
      <c r="AA19" s="2" t="e">
        <f t="array" ref="AA19">_xlfn.XLOOKUP(1,(INDEX(SFactors,,2)=10^LEFT(A19,1))*(INDEX(SFactors,,3)=(LEN(A19)-LEN(SUBSTITUTE(A19,"_","")))),INDEX(SFactors,,4))*PreTenB+(C19-PreTenB)*_xlfn.XLOOKUP(1,(INDEX(SFactors,,2)=10^LEFT(A19,1))*(INDEX(SFactors,,3)=(LEN(A19)-LEN(SUBSTITUTE(A19,"_","")))),INDEX(SFactors,,5))</f>
        <v>#N/A</v>
      </c>
      <c r="AB19" s="25" t="e">
        <f t="shared" si="5"/>
        <v>#N/A</v>
      </c>
      <c r="AC19" s="2" t="e">
        <f t="array" ref="AC19">_xlfn.XLOOKUP(1,
    (INDEX(SFactors,,2)=10^LEFT(A19,1)) *
    (INDEX(SFactors,,3)=(LEN(A19)-LEN(SUBSTITUTE(A19,"_","")))),
    INDEX(SFactors,,4)
)</f>
        <v>#N/A</v>
      </c>
      <c r="AD19" s="3" t="e">
        <f t="array" ref="AD19">_xlfn.XLOOKUP(1,(INDEX(SFactors,,2)=10^LEFT(A19,1))*(INDEX(SFactors,,3)=(LEN(A19)-LEN(SUBSTITUTE(A19,"_","")))),INDEX(SFactors,,5))</f>
        <v>#N/A</v>
      </c>
      <c r="AE19" s="3" t="e">
        <f t="shared" si="3"/>
        <v>#N/A</v>
      </c>
    </row>
    <row r="20" spans="1:36" ht="15" customHeight="1" thickBo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"/>
      <c r="Q20" s="3">
        <f t="shared" si="0"/>
        <v>181</v>
      </c>
      <c r="R20" s="36">
        <f t="shared" si="4"/>
        <v>61</v>
      </c>
      <c r="S20"/>
      <c r="AA20" s="2" t="e">
        <f t="array" ref="AA20">_xlfn.XLOOKUP(1,(INDEX(SFactors,,2)=10^LEFT(A20,1))*(INDEX(SFactors,,3)=(LEN(A20)-LEN(SUBSTITUTE(A20,"_","")))),INDEX(SFactors,,4))*PreTenB+(C20-PreTenB)*_xlfn.XLOOKUP(1,(INDEX(SFactors,,2)=10^LEFT(A20,1))*(INDEX(SFactors,,3)=(LEN(A20)-LEN(SUBSTITUTE(A20,"_","")))),INDEX(SFactors,,5))</f>
        <v>#N/A</v>
      </c>
      <c r="AB20" s="25" t="e">
        <f t="shared" si="5"/>
        <v>#N/A</v>
      </c>
      <c r="AC20" s="2" t="e">
        <f t="array" ref="AC20">_xlfn.XLOOKUP(1,
    (INDEX(SFactors,,2)=10^LEFT(A20,1)) *
    (INDEX(SFactors,,3)=(LEN(A20)-LEN(SUBSTITUTE(A20,"_","")))),
    INDEX(SFactors,,4)
)</f>
        <v>#N/A</v>
      </c>
      <c r="AD20" s="3" t="e">
        <f t="array" ref="AD20">_xlfn.XLOOKUP(1,(INDEX(SFactors,,2)=10^LEFT(A20,1))*(INDEX(SFactors,,3)=(LEN(A20)-LEN(SUBSTITUTE(A20,"_","")))),INDEX(SFactors,,5))</f>
        <v>#N/A</v>
      </c>
      <c r="AE20" s="3" t="e">
        <f t="shared" si="3"/>
        <v>#N/A</v>
      </c>
    </row>
    <row r="21" spans="1:36" ht="15.95" customHeight="1" thickBo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"/>
      <c r="Q21" s="3">
        <f t="shared" si="0"/>
        <v>193</v>
      </c>
      <c r="R21" s="36">
        <f t="shared" si="4"/>
        <v>61</v>
      </c>
      <c r="S21"/>
      <c r="AA21" s="2" t="e">
        <f t="array" ref="AA21">_xlfn.XLOOKUP(1,(INDEX(SFactors,,2)=10^LEFT(A21,1))*(INDEX(SFactors,,3)=(LEN(A21)-LEN(SUBSTITUTE(A21,"_","")))),INDEX(SFactors,,4))*PreTenB+(C21-PreTenB)*_xlfn.XLOOKUP(1,(INDEX(SFactors,,2)=10^LEFT(A21,1))*(INDEX(SFactors,,3)=(LEN(A21)-LEN(SUBSTITUTE(A21,"_","")))),INDEX(SFactors,,5))</f>
        <v>#N/A</v>
      </c>
      <c r="AB21" s="25" t="e">
        <f t="shared" si="5"/>
        <v>#N/A</v>
      </c>
      <c r="AC21" s="2" t="e">
        <f t="array" ref="AC21">_xlfn.XLOOKUP(1,
    (INDEX(SFactors,,2)=10^LEFT(A21,1)) *
    (INDEX(SFactors,,3)=(LEN(A21)-LEN(SUBSTITUTE(A21,"_","")))),
    INDEX(SFactors,,4)
)</f>
        <v>#N/A</v>
      </c>
      <c r="AD21" s="3" t="e">
        <f t="array" ref="AD21">_xlfn.XLOOKUP(1,(INDEX(SFactors,,2)=10^LEFT(A21,1))*(INDEX(SFactors,,3)=(LEN(A21)-LEN(SUBSTITUTE(A21,"_","")))),INDEX(SFactors,,5))</f>
        <v>#N/A</v>
      </c>
      <c r="AE21" s="3" t="e">
        <f t="shared" si="3"/>
        <v>#N/A</v>
      </c>
      <c r="AF21" s="26" t="s">
        <v>50</v>
      </c>
      <c r="AG21" s="26">
        <v>100</v>
      </c>
      <c r="AH21" s="27">
        <v>0</v>
      </c>
      <c r="AI21" s="26">
        <v>1.2</v>
      </c>
      <c r="AJ21" s="28">
        <v>1.9</v>
      </c>
    </row>
    <row r="22" spans="1:36" ht="15.95" customHeight="1" thickBo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"/>
      <c r="Q22" s="3">
        <f t="shared" si="0"/>
        <v>205</v>
      </c>
      <c r="R22" s="36">
        <f t="shared" si="4"/>
        <v>61</v>
      </c>
      <c r="S22"/>
      <c r="AA22" s="2" t="e">
        <f t="array" ref="AA22">_xlfn.XLOOKUP(1,(INDEX(SFactors,,2)=10^LEFT(A22,1))*(INDEX(SFactors,,3)=(LEN(A22)-LEN(SUBSTITUTE(A22,"_","")))),INDEX(SFactors,,4))*PreTenB+(C22-PreTenB)*_xlfn.XLOOKUP(1,(INDEX(SFactors,,2)=10^LEFT(A22,1))*(INDEX(SFactors,,3)=(LEN(A22)-LEN(SUBSTITUTE(A22,"_","")))),INDEX(SFactors,,5))</f>
        <v>#N/A</v>
      </c>
      <c r="AB22" s="25" t="e">
        <f t="shared" si="5"/>
        <v>#N/A</v>
      </c>
      <c r="AC22" s="2" t="e">
        <f t="array" ref="AC22">_xlfn.XLOOKUP(1,
    (INDEX(SFactors,,2)=10^LEFT(A22,1)) *
    (INDEX(SFactors,,3)=(LEN(A22)-LEN(SUBSTITUTE(A22,"_","")))),
    INDEX(SFactors,,4)
)</f>
        <v>#N/A</v>
      </c>
      <c r="AD22" s="3" t="e">
        <f t="array" ref="AD22">_xlfn.XLOOKUP(1,(INDEX(SFactors,,2)=10^LEFT(A22,1))*(INDEX(SFactors,,3)=(LEN(A22)-LEN(SUBSTITUTE(A22,"_","")))),INDEX(SFactors,,5))</f>
        <v>#N/A</v>
      </c>
      <c r="AE22" s="3" t="e">
        <f t="shared" si="3"/>
        <v>#N/A</v>
      </c>
      <c r="AF22" s="26" t="s">
        <v>51</v>
      </c>
      <c r="AG22" s="26">
        <v>100</v>
      </c>
      <c r="AH22" s="27">
        <v>1</v>
      </c>
      <c r="AI22" s="26">
        <v>1</v>
      </c>
      <c r="AJ22" s="28">
        <v>1.45</v>
      </c>
    </row>
    <row r="23" spans="1:36" ht="15.95" customHeight="1" thickBo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"/>
      <c r="Q23" s="3">
        <f t="shared" si="0"/>
        <v>217</v>
      </c>
      <c r="R23" s="36">
        <f t="shared" si="4"/>
        <v>73</v>
      </c>
      <c r="S23"/>
      <c r="AA23" s="2" t="e">
        <f t="array" ref="AA23">_xlfn.XLOOKUP(1,(INDEX(SFactors,,2)=10^LEFT(A23,1))*(INDEX(SFactors,,3)=(LEN(A23)-LEN(SUBSTITUTE(A23,"_","")))),INDEX(SFactors,,4))*PreTenB+(C23-PreTenB)*_xlfn.XLOOKUP(1,(INDEX(SFactors,,2)=10^LEFT(A23,1))*(INDEX(SFactors,,3)=(LEN(A23)-LEN(SUBSTITUTE(A23,"_","")))),INDEX(SFactors,,5))</f>
        <v>#N/A</v>
      </c>
      <c r="AB23" s="25" t="e">
        <f t="shared" si="5"/>
        <v>#N/A</v>
      </c>
      <c r="AC23" s="2" t="e">
        <f t="array" ref="AC23">_xlfn.XLOOKUP(1,
    (INDEX(SFactors,,2)=10^LEFT(A23,1)) *
    (INDEX(SFactors,,3)=(LEN(A23)-LEN(SUBSTITUTE(A23,"_","")))),
    INDEX(SFactors,,4)
)</f>
        <v>#N/A</v>
      </c>
      <c r="AD23" s="3" t="e">
        <f t="array" ref="AD23">_xlfn.XLOOKUP(1,(INDEX(SFactors,,2)=10^LEFT(A23,1))*(INDEX(SFactors,,3)=(LEN(A23)-LEN(SUBSTITUTE(A23,"_","")))),INDEX(SFactors,,5))</f>
        <v>#N/A</v>
      </c>
      <c r="AE23" s="3" t="e">
        <f t="shared" si="3"/>
        <v>#N/A</v>
      </c>
      <c r="AF23" s="26" t="s">
        <v>52</v>
      </c>
      <c r="AG23" s="26">
        <v>10</v>
      </c>
      <c r="AH23" s="27">
        <v>2</v>
      </c>
      <c r="AI23" s="26">
        <v>1</v>
      </c>
      <c r="AJ23" s="42">
        <v>1.45</v>
      </c>
    </row>
    <row r="24" spans="1:36" ht="15.95" customHeight="1" thickBo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"/>
      <c r="Q24" s="3">
        <f t="shared" si="0"/>
        <v>229</v>
      </c>
      <c r="R24" s="36">
        <f t="shared" si="4"/>
        <v>73</v>
      </c>
      <c r="S24"/>
      <c r="AA24" s="2" t="e">
        <f t="array" ref="AA24">_xlfn.XLOOKUP(1,(INDEX(SFactors,,2)=10^LEFT(A24,1))*(INDEX(SFactors,,3)=(LEN(A24)-LEN(SUBSTITUTE(A24,"_","")))),INDEX(SFactors,,4))*PreTenB+(C24-PreTenB)*_xlfn.XLOOKUP(1,(INDEX(SFactors,,2)=10^LEFT(A24,1))*(INDEX(SFactors,,3)=(LEN(A24)-LEN(SUBSTITUTE(A24,"_","")))),INDEX(SFactors,,5))</f>
        <v>#N/A</v>
      </c>
      <c r="AB24" s="25" t="e">
        <f t="shared" si="5"/>
        <v>#N/A</v>
      </c>
      <c r="AC24" s="2" t="e">
        <f t="array" ref="AC24">_xlfn.XLOOKUP(1,
    (INDEX(SFactors,,2)=10^LEFT(A24,1)) *
    (INDEX(SFactors,,3)=(LEN(A24)-LEN(SUBSTITUTE(A24,"_","")))),
    INDEX(SFactors,,4)
)</f>
        <v>#N/A</v>
      </c>
      <c r="AD24" s="3" t="e">
        <f t="array" ref="AD24">_xlfn.XLOOKUP(1,(INDEX(SFactors,,2)=10^LEFT(A24,1))*(INDEX(SFactors,,3)=(LEN(A24)-LEN(SUBSTITUTE(A24,"_","")))),INDEX(SFactors,,5))</f>
        <v>#N/A</v>
      </c>
      <c r="AE24" s="3" t="e">
        <f t="shared" si="3"/>
        <v>#N/A</v>
      </c>
      <c r="AF24" s="26" t="s">
        <v>53</v>
      </c>
      <c r="AG24" s="29">
        <v>10000</v>
      </c>
      <c r="AH24" s="27">
        <v>0</v>
      </c>
      <c r="AI24" s="26">
        <v>1</v>
      </c>
      <c r="AJ24" s="28">
        <v>1</v>
      </c>
    </row>
    <row r="25" spans="1:36" ht="15.95" customHeight="1" thickBo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"/>
      <c r="Q25" s="3">
        <f t="shared" si="0"/>
        <v>241</v>
      </c>
      <c r="R25" s="36">
        <f t="shared" si="4"/>
        <v>73</v>
      </c>
      <c r="S25"/>
      <c r="AA25" s="2" t="e">
        <f t="array" ref="AA25">_xlfn.XLOOKUP(1,(INDEX(SFactors,,2)=10^LEFT(A25,1))*(INDEX(SFactors,,3)=(LEN(A25)-LEN(SUBSTITUTE(A25,"_","")))),INDEX(SFactors,,4))*PreTenB+(C25-PreTenB)*_xlfn.XLOOKUP(1,(INDEX(SFactors,,2)=10^LEFT(A25,1))*(INDEX(SFactors,,3)=(LEN(A25)-LEN(SUBSTITUTE(A25,"_","")))),INDEX(SFactors,,5))</f>
        <v>#N/A</v>
      </c>
      <c r="AB25" s="25" t="e">
        <f t="shared" si="5"/>
        <v>#N/A</v>
      </c>
      <c r="AC25" s="2" t="e">
        <f t="array" ref="AC25">_xlfn.XLOOKUP(1,
    (INDEX(SFactors,,2)=10^LEFT(A25,1)) *
    (INDEX(SFactors,,3)=(LEN(A25)-LEN(SUBSTITUTE(A25,"_","")))),
    INDEX(SFactors,,4)
)</f>
        <v>#N/A</v>
      </c>
      <c r="AD25" s="3" t="e">
        <f t="array" ref="AD25">_xlfn.XLOOKUP(1,(INDEX(SFactors,,2)=10^LEFT(A25,1))*(INDEX(SFactors,,3)=(LEN(A25)-LEN(SUBSTITUTE(A25,"_","")))),INDEX(SFactors,,5))</f>
        <v>#N/A</v>
      </c>
      <c r="AE25" s="3" t="e">
        <f t="shared" si="3"/>
        <v>#N/A</v>
      </c>
      <c r="AF25" s="26" t="s">
        <v>54</v>
      </c>
      <c r="AG25" s="26">
        <v>1</v>
      </c>
      <c r="AH25" s="27">
        <v>1</v>
      </c>
      <c r="AI25" s="26">
        <v>1.2</v>
      </c>
      <c r="AJ25" s="28">
        <v>1.9</v>
      </c>
    </row>
    <row r="26" spans="1:36" ht="15.95" customHeight="1" thickBo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"/>
      <c r="Q26" s="3">
        <f t="shared" si="0"/>
        <v>2</v>
      </c>
      <c r="R26" s="36">
        <f t="shared" si="4"/>
        <v>2</v>
      </c>
      <c r="S26"/>
      <c r="AA26" s="2" t="e">
        <f t="array" ref="AA26">_xlfn.XLOOKUP(1,(INDEX(SFactors,,2)=10^LEFT(A26,1))*(INDEX(SFactors,,3)=(LEN(A26)-LEN(SUBSTITUTE(A26,"_","")))),INDEX(SFactors,,4))*PreTenB+(C26-PreTenB)*_xlfn.XLOOKUP(1,(INDEX(SFactors,,2)=10^LEFT(A26,1))*(INDEX(SFactors,,3)=(LEN(A26)-LEN(SUBSTITUTE(A26,"_","")))),INDEX(SFactors,,5))</f>
        <v>#N/A</v>
      </c>
      <c r="AB26" s="25" t="e">
        <f t="shared" si="5"/>
        <v>#N/A</v>
      </c>
      <c r="AC26" s="2" t="e">
        <f t="array" ref="AC26">_xlfn.XLOOKUP(1,
    (INDEX(SFactors,,2)=10^LEFT(A26,1)) *
    (INDEX(SFactors,,3)=(LEN(A26)-LEN(SUBSTITUTE(A26,"_","")))),
    INDEX(SFactors,,4)
)</f>
        <v>#N/A</v>
      </c>
      <c r="AD26" s="3" t="e">
        <f t="array" ref="AD26">_xlfn.XLOOKUP(1,(INDEX(SFactors,,2)=10^LEFT(A26,1))*(INDEX(SFactors,,3)=(LEN(A26)-LEN(SUBSTITUTE(A26,"_","")))),INDEX(SFactors,,5))</f>
        <v>#N/A</v>
      </c>
      <c r="AE26" s="3" t="e">
        <f t="shared" si="3"/>
        <v>#N/A</v>
      </c>
      <c r="AF26" s="26" t="s">
        <v>55</v>
      </c>
      <c r="AG26" s="26">
        <v>1</v>
      </c>
      <c r="AH26" s="27">
        <v>2</v>
      </c>
      <c r="AI26" s="26">
        <v>1</v>
      </c>
      <c r="AJ26" s="28">
        <v>1.45</v>
      </c>
    </row>
    <row r="27" spans="1:36" ht="15.6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"/>
      <c r="Q27" s="3">
        <f t="shared" si="0"/>
        <v>14</v>
      </c>
      <c r="R27" s="36">
        <f t="shared" si="4"/>
        <v>2</v>
      </c>
      <c r="S27"/>
      <c r="AA27" s="2" t="e">
        <f t="array" ref="AA27">_xlfn.XLOOKUP(1,(INDEX(SFactors,,2)=10^LEFT(A27,1))*(INDEX(SFactors,,3)=(LEN(A27)-LEN(SUBSTITUTE(A27,"_","")))),INDEX(SFactors,,4))*PreTenB+(C27-PreTenB)*_xlfn.XLOOKUP(1,(INDEX(SFactors,,2)=10^LEFT(A27,1))*(INDEX(SFactors,,3)=(LEN(A27)-LEN(SUBSTITUTE(A27,"_","")))),INDEX(SFactors,,5))</f>
        <v>#N/A</v>
      </c>
      <c r="AB27" s="25" t="e">
        <f t="shared" si="5"/>
        <v>#N/A</v>
      </c>
      <c r="AC27" s="2" t="e">
        <f t="array" ref="AC27">_xlfn.XLOOKUP(1,
    (INDEX(SFactors,,2)=10^LEFT(A27,1)) *
    (INDEX(SFactors,,3)=(LEN(A27)-LEN(SUBSTITUTE(A27,"_","")))),
    INDEX(SFactors,,4)
)</f>
        <v>#N/A</v>
      </c>
      <c r="AD27" s="3" t="e">
        <f t="array" ref="AD27">_xlfn.XLOOKUP(1,(INDEX(SFactors,,2)=10^LEFT(A27,1))*(INDEX(SFactors,,3)=(LEN(A27)-LEN(SUBSTITUTE(A27,"_","")))),INDEX(SFactors,,5))</f>
        <v>#N/A</v>
      </c>
      <c r="AE27" s="3" t="e">
        <f t="shared" si="3"/>
        <v>#N/A</v>
      </c>
      <c r="AF27" s="26" t="s">
        <v>56</v>
      </c>
      <c r="AG27" s="26">
        <v>1</v>
      </c>
      <c r="AH27" s="27">
        <v>3</v>
      </c>
      <c r="AI27" s="26">
        <v>1</v>
      </c>
      <c r="AJ27" s="42">
        <v>1.45</v>
      </c>
    </row>
    <row r="28" spans="1:3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"/>
      <c r="Q28" s="3">
        <f t="shared" si="0"/>
        <v>26</v>
      </c>
      <c r="R28" s="36">
        <f t="shared" si="4"/>
        <v>2</v>
      </c>
      <c r="S28"/>
      <c r="AA28" s="2" t="e">
        <f t="array" ref="AA28">_xlfn.XLOOKUP(1,(INDEX(SFactors,,2)=10^LEFT(A28,1))*(INDEX(SFactors,,3)=(LEN(A28)-LEN(SUBSTITUTE(A28,"_","")))),INDEX(SFactors,,4))*PreTenB+(C28-PreTenB)*_xlfn.XLOOKUP(1,(INDEX(SFactors,,2)=10^LEFT(A28,1))*(INDEX(SFactors,,3)=(LEN(A28)-LEN(SUBSTITUTE(A28,"_","")))),INDEX(SFactors,,5))</f>
        <v>#N/A</v>
      </c>
      <c r="AB28" s="25" t="e">
        <f t="shared" si="5"/>
        <v>#N/A</v>
      </c>
      <c r="AC28" s="2" t="e">
        <f t="array" ref="AC28">_xlfn.XLOOKUP(1,
    (INDEX(SFactors,,2)=10^LEFT(A28,1)) *
    (INDEX(SFactors,,3)=(LEN(A28)-LEN(SUBSTITUTE(A28,"_","")))),
    INDEX(SFactors,,4)
)</f>
        <v>#N/A</v>
      </c>
      <c r="AD28" s="3" t="e">
        <f t="array" ref="AD28">_xlfn.XLOOKUP(1,(INDEX(SFactors,,2)=10^LEFT(A28,1))*(INDEX(SFactors,,3)=(LEN(A28)-LEN(SUBSTITUTE(A28,"_","")))),INDEX(SFactors,,5))</f>
        <v>#N/A</v>
      </c>
      <c r="AE28" s="3" t="e">
        <f t="shared" si="3"/>
        <v>#N/A</v>
      </c>
    </row>
    <row r="29" spans="1:3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"/>
      <c r="Q29" s="3">
        <f t="shared" si="0"/>
        <v>38</v>
      </c>
      <c r="R29" s="36">
        <f t="shared" si="4"/>
        <v>14</v>
      </c>
      <c r="S29"/>
      <c r="AA29" s="2" t="e">
        <f t="array" ref="AA29">_xlfn.XLOOKUP(1,(INDEX(SFactors,,2)=10^LEFT(A29,1))*(INDEX(SFactors,,3)=(LEN(A29)-LEN(SUBSTITUTE(A29,"_","")))),INDEX(SFactors,,4))*PreTenB+(C29-PreTenB)*_xlfn.XLOOKUP(1,(INDEX(SFactors,,2)=10^LEFT(A29,1))*(INDEX(SFactors,,3)=(LEN(A29)-LEN(SUBSTITUTE(A29,"_","")))),INDEX(SFactors,,5))</f>
        <v>#N/A</v>
      </c>
      <c r="AB29" s="25" t="e">
        <f t="shared" si="5"/>
        <v>#N/A</v>
      </c>
      <c r="AC29" s="2" t="e">
        <f t="array" ref="AC29">_xlfn.XLOOKUP(1,
    (INDEX(SFactors,,2)=10^LEFT(A29,1)) *
    (INDEX(SFactors,,3)=(LEN(A29)-LEN(SUBSTITUTE(A29,"_","")))),
    INDEX(SFactors,,4)
)</f>
        <v>#N/A</v>
      </c>
      <c r="AD29" s="3" t="e">
        <f t="array" ref="AD29">_xlfn.XLOOKUP(1,(INDEX(SFactors,,2)=10^LEFT(A29,1))*(INDEX(SFactors,,3)=(LEN(A29)-LEN(SUBSTITUTE(A29,"_","")))),INDEX(SFactors,,5))</f>
        <v>#N/A</v>
      </c>
      <c r="AE29" s="3" t="e">
        <f t="shared" si="3"/>
        <v>#N/A</v>
      </c>
    </row>
    <row r="30" spans="1:3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"/>
      <c r="Q30" s="3">
        <f t="shared" si="0"/>
        <v>50</v>
      </c>
      <c r="R30" s="36">
        <f t="shared" si="4"/>
        <v>14</v>
      </c>
      <c r="S30"/>
      <c r="AA30" s="2" t="e">
        <f t="array" ref="AA30">_xlfn.XLOOKUP(1,(INDEX(SFactors,,2)=10^LEFT(A30,1))*(INDEX(SFactors,,3)=(LEN(A30)-LEN(SUBSTITUTE(A30,"_","")))),INDEX(SFactors,,4))*PreTenB+(C30-PreTenB)*_xlfn.XLOOKUP(1,(INDEX(SFactors,,2)=10^LEFT(A30,1))*(INDEX(SFactors,,3)=(LEN(A30)-LEN(SUBSTITUTE(A30,"_","")))),INDEX(SFactors,,5))</f>
        <v>#N/A</v>
      </c>
      <c r="AB30" s="25" t="e">
        <f t="shared" si="5"/>
        <v>#N/A</v>
      </c>
      <c r="AC30" s="2" t="e">
        <f t="array" ref="AC30">_xlfn.XLOOKUP(1,
    (INDEX(SFactors,,2)=10^LEFT(A30,1)) *
    (INDEX(SFactors,,3)=(LEN(A30)-LEN(SUBSTITUTE(A30,"_","")))),
    INDEX(SFactors,,4)
)</f>
        <v>#N/A</v>
      </c>
      <c r="AD30" s="3" t="e">
        <f t="array" ref="AD30">_xlfn.XLOOKUP(1,(INDEX(SFactors,,2)=10^LEFT(A30,1))*(INDEX(SFactors,,3)=(LEN(A30)-LEN(SUBSTITUTE(A30,"_","")))),INDEX(SFactors,,5))</f>
        <v>#N/A</v>
      </c>
      <c r="AE30" s="3" t="e">
        <f t="shared" si="3"/>
        <v>#N/A</v>
      </c>
    </row>
    <row r="31" spans="1:3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"/>
      <c r="Q31" s="3">
        <f t="shared" si="0"/>
        <v>62</v>
      </c>
      <c r="R31" s="36">
        <f t="shared" si="4"/>
        <v>14</v>
      </c>
      <c r="S31"/>
      <c r="AA31" s="2" t="e">
        <f t="array" ref="AA31">_xlfn.XLOOKUP(1,(INDEX(SFactors,,2)=10^LEFT(A31,1))*(INDEX(SFactors,,3)=(LEN(A31)-LEN(SUBSTITUTE(A31,"_","")))),INDEX(SFactors,,4))*PreTenB+(C31-PreTenB)*_xlfn.XLOOKUP(1,(INDEX(SFactors,,2)=10^LEFT(A31,1))*(INDEX(SFactors,,3)=(LEN(A31)-LEN(SUBSTITUTE(A31,"_","")))),INDEX(SFactors,,5))</f>
        <v>#N/A</v>
      </c>
      <c r="AB31" s="25" t="e">
        <f t="shared" si="5"/>
        <v>#N/A</v>
      </c>
      <c r="AC31" s="2" t="e">
        <f t="array" ref="AC31">_xlfn.XLOOKUP(1,
    (INDEX(SFactors,,2)=10^LEFT(A31,1)) *
    (INDEX(SFactors,,3)=(LEN(A31)-LEN(SUBSTITUTE(A31,"_","")))),
    INDEX(SFactors,,4)
)</f>
        <v>#N/A</v>
      </c>
      <c r="AD31" s="3" t="e">
        <f t="array" ref="AD31">_xlfn.XLOOKUP(1,(INDEX(SFactors,,2)=10^LEFT(A31,1))*(INDEX(SFactors,,3)=(LEN(A31)-LEN(SUBSTITUTE(A31,"_","")))),INDEX(SFactors,,5))</f>
        <v>#N/A</v>
      </c>
      <c r="AE31" s="3" t="e">
        <f t="shared" si="3"/>
        <v>#N/A</v>
      </c>
    </row>
    <row r="32" spans="1:3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"/>
      <c r="Q32" s="3">
        <f t="shared" si="0"/>
        <v>74</v>
      </c>
      <c r="R32" s="36">
        <f t="shared" si="4"/>
        <v>26</v>
      </c>
      <c r="S32"/>
      <c r="AA32" s="2" t="e">
        <f t="array" ref="AA32">_xlfn.XLOOKUP(1,(INDEX(SFactors,,2)=10^LEFT(A32,1))*(INDEX(SFactors,,3)=(LEN(A32)-LEN(SUBSTITUTE(A32,"_","")))),INDEX(SFactors,,4))*PreTenB+(C32-PreTenB)*_xlfn.XLOOKUP(1,(INDEX(SFactors,,2)=10^LEFT(A32,1))*(INDEX(SFactors,,3)=(LEN(A32)-LEN(SUBSTITUTE(A32,"_","")))),INDEX(SFactors,,5))</f>
        <v>#N/A</v>
      </c>
      <c r="AB32" s="25" t="e">
        <f t="shared" si="5"/>
        <v>#N/A</v>
      </c>
      <c r="AC32" s="2" t="e">
        <f t="array" ref="AC32">_xlfn.XLOOKUP(1,
    (INDEX(SFactors,,2)=10^LEFT(A32,1)) *
    (INDEX(SFactors,,3)=(LEN(A32)-LEN(SUBSTITUTE(A32,"_","")))),
    INDEX(SFactors,,4)
)</f>
        <v>#N/A</v>
      </c>
      <c r="AD32" s="3" t="e">
        <f t="array" ref="AD32">_xlfn.XLOOKUP(1,(INDEX(SFactors,,2)=10^LEFT(A32,1))*(INDEX(SFactors,,3)=(LEN(A32)-LEN(SUBSTITUTE(A32,"_","")))),INDEX(SFactors,,5))</f>
        <v>#N/A</v>
      </c>
      <c r="AE32" s="3" t="e">
        <f t="shared" si="3"/>
        <v>#N/A</v>
      </c>
    </row>
    <row r="33" spans="1:3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"/>
      <c r="Q33" s="3">
        <f t="shared" si="0"/>
        <v>86</v>
      </c>
      <c r="R33" s="36">
        <f t="shared" si="4"/>
        <v>26</v>
      </c>
      <c r="S33"/>
      <c r="AA33" s="2" t="e">
        <f t="array" ref="AA33">_xlfn.XLOOKUP(1,(INDEX(SFactors,,2)=10^LEFT(A33,1))*(INDEX(SFactors,,3)=(LEN(A33)-LEN(SUBSTITUTE(A33,"_","")))),INDEX(SFactors,,4))*PreTenB+(C33-PreTenB)*_xlfn.XLOOKUP(1,(INDEX(SFactors,,2)=10^LEFT(A33,1))*(INDEX(SFactors,,3)=(LEN(A33)-LEN(SUBSTITUTE(A33,"_","")))),INDEX(SFactors,,5))</f>
        <v>#N/A</v>
      </c>
      <c r="AB33" s="25" t="e">
        <f t="shared" si="5"/>
        <v>#N/A</v>
      </c>
      <c r="AC33" s="2" t="e">
        <f t="array" ref="AC33">_xlfn.XLOOKUP(1,
    (INDEX(SFactors,,2)=10^LEFT(A33,1)) *
    (INDEX(SFactors,,3)=(LEN(A33)-LEN(SUBSTITUTE(A33,"_","")))),
    INDEX(SFactors,,4)
)</f>
        <v>#N/A</v>
      </c>
      <c r="AD33" s="3" t="e">
        <f t="array" ref="AD33">_xlfn.XLOOKUP(1,(INDEX(SFactors,,2)=10^LEFT(A33,1))*(INDEX(SFactors,,3)=(LEN(A33)-LEN(SUBSTITUTE(A33,"_","")))),INDEX(SFactors,,5))</f>
        <v>#N/A</v>
      </c>
      <c r="AE33" s="3" t="e">
        <f t="shared" si="3"/>
        <v>#N/A</v>
      </c>
    </row>
    <row r="34" spans="1:3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"/>
      <c r="Q34" s="3">
        <f t="shared" si="0"/>
        <v>98</v>
      </c>
      <c r="R34" s="36">
        <f t="shared" si="4"/>
        <v>26</v>
      </c>
      <c r="S34"/>
      <c r="AA34" s="2" t="e">
        <f t="array" ref="AA34">_xlfn.XLOOKUP(1,(INDEX(SFactors,,2)=10^LEFT(A34,1))*(INDEX(SFactors,,3)=(LEN(A34)-LEN(SUBSTITUTE(A34,"_","")))),INDEX(SFactors,,4))*PreTenB+(C34-PreTenB)*_xlfn.XLOOKUP(1,(INDEX(SFactors,,2)=10^LEFT(A34,1))*(INDEX(SFactors,,3)=(LEN(A34)-LEN(SUBSTITUTE(A34,"_","")))),INDEX(SFactors,,5))</f>
        <v>#N/A</v>
      </c>
      <c r="AB34" s="25" t="e">
        <f t="shared" si="5"/>
        <v>#N/A</v>
      </c>
      <c r="AC34" s="2" t="e">
        <f t="array" ref="AC34">_xlfn.XLOOKUP(1,
    (INDEX(SFactors,,2)=10^LEFT(A34,1)) *
    (INDEX(SFactors,,3)=(LEN(A34)-LEN(SUBSTITUTE(A34,"_","")))),
    INDEX(SFactors,,4)
)</f>
        <v>#N/A</v>
      </c>
      <c r="AD34" s="3" t="e">
        <f t="array" ref="AD34">_xlfn.XLOOKUP(1,(INDEX(SFactors,,2)=10^LEFT(A34,1))*(INDEX(SFactors,,3)=(LEN(A34)-LEN(SUBSTITUTE(A34,"_","")))),INDEX(SFactors,,5))</f>
        <v>#N/A</v>
      </c>
      <c r="AE34" s="3" t="e">
        <f t="shared" si="3"/>
        <v>#N/A</v>
      </c>
    </row>
    <row r="35" spans="1:3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"/>
      <c r="Q35" s="3">
        <f t="shared" si="0"/>
        <v>110</v>
      </c>
      <c r="R35" s="36">
        <f t="shared" si="4"/>
        <v>38</v>
      </c>
      <c r="S35"/>
      <c r="AA35" s="2" t="e">
        <f t="array" ref="AA35">_xlfn.XLOOKUP(1,(INDEX(SFactors,,2)=10^LEFT(A35,1))*(INDEX(SFactors,,3)=(LEN(A35)-LEN(SUBSTITUTE(A35,"_","")))),INDEX(SFactors,,4))*PreTenB+(C35-PreTenB)*_xlfn.XLOOKUP(1,(INDEX(SFactors,,2)=10^LEFT(A35,1))*(INDEX(SFactors,,3)=(LEN(A35)-LEN(SUBSTITUTE(A35,"_","")))),INDEX(SFactors,,5))</f>
        <v>#N/A</v>
      </c>
      <c r="AB35" s="25" t="e">
        <f t="shared" si="5"/>
        <v>#N/A</v>
      </c>
      <c r="AC35" s="2" t="e">
        <f t="array" ref="AC35">_xlfn.XLOOKUP(1,
    (INDEX(SFactors,,2)=10^LEFT(A35,1)) *
    (INDEX(SFactors,,3)=(LEN(A35)-LEN(SUBSTITUTE(A35,"_","")))),
    INDEX(SFactors,,4)
)</f>
        <v>#N/A</v>
      </c>
      <c r="AD35" s="3" t="e">
        <f t="array" ref="AD35">_xlfn.XLOOKUP(1,(INDEX(SFactors,,2)=10^LEFT(A35,1))*(INDEX(SFactors,,3)=(LEN(A35)-LEN(SUBSTITUTE(A35,"_","")))),INDEX(SFactors,,5))</f>
        <v>#N/A</v>
      </c>
      <c r="AE35" s="3" t="e">
        <f t="shared" si="3"/>
        <v>#N/A</v>
      </c>
    </row>
    <row r="36" spans="1:3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"/>
      <c r="Q36" s="3">
        <f t="shared" si="0"/>
        <v>122</v>
      </c>
      <c r="R36" s="36">
        <f t="shared" si="4"/>
        <v>38</v>
      </c>
      <c r="S36"/>
      <c r="AA36" s="2" t="e">
        <f t="array" ref="AA36">_xlfn.XLOOKUP(1,(INDEX(SFactors,,2)=10^LEFT(A36,1))*(INDEX(SFactors,,3)=(LEN(A36)-LEN(SUBSTITUTE(A36,"_","")))),INDEX(SFactors,,4))*PreTenB+(C36-PreTenB)*_xlfn.XLOOKUP(1,(INDEX(SFactors,,2)=10^LEFT(A36,1))*(INDEX(SFactors,,3)=(LEN(A36)-LEN(SUBSTITUTE(A36,"_","")))),INDEX(SFactors,,5))</f>
        <v>#N/A</v>
      </c>
      <c r="AB36" s="25" t="e">
        <f t="shared" si="5"/>
        <v>#N/A</v>
      </c>
      <c r="AC36" s="2" t="e">
        <f t="array" ref="AC36">_xlfn.XLOOKUP(1,
    (INDEX(SFactors,,2)=10^LEFT(A36,1)) *
    (INDEX(SFactors,,3)=(LEN(A36)-LEN(SUBSTITUTE(A36,"_","")))),
    INDEX(SFactors,,4)
)</f>
        <v>#N/A</v>
      </c>
      <c r="AD36" s="3" t="e">
        <f t="array" ref="AD36">_xlfn.XLOOKUP(1,(INDEX(SFactors,,2)=10^LEFT(A36,1))*(INDEX(SFactors,,3)=(LEN(A36)-LEN(SUBSTITUTE(A36,"_","")))),INDEX(SFactors,,5))</f>
        <v>#N/A</v>
      </c>
      <c r="AE36" s="3" t="e">
        <f t="shared" si="3"/>
        <v>#N/A</v>
      </c>
    </row>
    <row r="37" spans="1:3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2"/>
      <c r="Q37" s="3">
        <f t="shared" si="0"/>
        <v>134</v>
      </c>
      <c r="R37" s="36">
        <f t="shared" si="4"/>
        <v>38</v>
      </c>
      <c r="S37"/>
      <c r="AA37" s="2" t="e">
        <f t="array" ref="AA37">_xlfn.XLOOKUP(1,(INDEX(SFactors,,2)=10^LEFT(A37,1))*(INDEX(SFactors,,3)=(LEN(A37)-LEN(SUBSTITUTE(A37,"_","")))),INDEX(SFactors,,4))*PreTenB+(C37-PreTenB)*_xlfn.XLOOKUP(1,(INDEX(SFactors,,2)=10^LEFT(A37,1))*(INDEX(SFactors,,3)=(LEN(A37)-LEN(SUBSTITUTE(A37,"_","")))),INDEX(SFactors,,5))</f>
        <v>#N/A</v>
      </c>
      <c r="AB37" s="25" t="e">
        <f t="shared" si="5"/>
        <v>#N/A</v>
      </c>
      <c r="AC37" s="2" t="e">
        <f t="array" ref="AC37">_xlfn.XLOOKUP(1,
    (INDEX(SFactors,,2)=10^LEFT(A37,1)) *
    (INDEX(SFactors,,3)=(LEN(A37)-LEN(SUBSTITUTE(A37,"_","")))),
    INDEX(SFactors,,4)
)</f>
        <v>#N/A</v>
      </c>
      <c r="AD37" s="3" t="e">
        <f t="array" ref="AD37">_xlfn.XLOOKUP(1,(INDEX(SFactors,,2)=10^LEFT(A37,1))*(INDEX(SFactors,,3)=(LEN(A37)-LEN(SUBSTITUTE(A37,"_","")))),INDEX(SFactors,,5))</f>
        <v>#N/A</v>
      </c>
      <c r="AE37" s="3" t="e">
        <f t="shared" si="3"/>
        <v>#N/A</v>
      </c>
    </row>
    <row r="38" spans="1:3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2"/>
      <c r="Q38" s="3">
        <f t="shared" si="0"/>
        <v>146</v>
      </c>
      <c r="R38" s="36">
        <f t="shared" si="4"/>
        <v>50</v>
      </c>
      <c r="S38"/>
      <c r="AA38" s="2" t="e">
        <f t="array" ref="AA38">_xlfn.XLOOKUP(1,(INDEX(SFactors,,2)=10^LEFT(A38,1))*(INDEX(SFactors,,3)=(LEN(A38)-LEN(SUBSTITUTE(A38,"_","")))),INDEX(SFactors,,4))*PreTenB+(C38-PreTenB)*_xlfn.XLOOKUP(1,(INDEX(SFactors,,2)=10^LEFT(A38,1))*(INDEX(SFactors,,3)=(LEN(A38)-LEN(SUBSTITUTE(A38,"_","")))),INDEX(SFactors,,5))</f>
        <v>#N/A</v>
      </c>
      <c r="AB38" s="25" t="e">
        <f t="shared" si="5"/>
        <v>#N/A</v>
      </c>
      <c r="AC38" s="2" t="e">
        <f t="array" ref="AC38">_xlfn.XLOOKUP(1,
    (INDEX(SFactors,,2)=10^LEFT(A38,1)) *
    (INDEX(SFactors,,3)=(LEN(A38)-LEN(SUBSTITUTE(A38,"_","")))),
    INDEX(SFactors,,4)
)</f>
        <v>#N/A</v>
      </c>
      <c r="AD38" s="3" t="e">
        <f t="array" ref="AD38">_xlfn.XLOOKUP(1,(INDEX(SFactors,,2)=10^LEFT(A38,1))*(INDEX(SFactors,,3)=(LEN(A38)-LEN(SUBSTITUTE(A38,"_","")))),INDEX(SFactors,,5))</f>
        <v>#N/A</v>
      </c>
      <c r="AE38" s="3" t="e">
        <f t="shared" si="3"/>
        <v>#N/A</v>
      </c>
    </row>
    <row r="39" spans="1:3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"/>
      <c r="Q39" s="3">
        <f t="shared" si="0"/>
        <v>158</v>
      </c>
      <c r="R39" s="36">
        <f t="shared" si="4"/>
        <v>50</v>
      </c>
      <c r="S39"/>
      <c r="AA39" s="2" t="e">
        <f t="array" ref="AA39">_xlfn.XLOOKUP(1,(INDEX(SFactors,,2)=10^LEFT(A39,1))*(INDEX(SFactors,,3)=(LEN(A39)-LEN(SUBSTITUTE(A39,"_","")))),INDEX(SFactors,,4))*PreTenB+(C39-PreTenB)*_xlfn.XLOOKUP(1,(INDEX(SFactors,,2)=10^LEFT(A39,1))*(INDEX(SFactors,,3)=(LEN(A39)-LEN(SUBSTITUTE(A39,"_","")))),INDEX(SFactors,,5))</f>
        <v>#N/A</v>
      </c>
      <c r="AB39" s="25" t="e">
        <f t="shared" si="5"/>
        <v>#N/A</v>
      </c>
      <c r="AC39" s="2" t="e">
        <f t="array" ref="AC39">_xlfn.XLOOKUP(1,
    (INDEX(SFactors,,2)=10^LEFT(A39,1)) *
    (INDEX(SFactors,,3)=(LEN(A39)-LEN(SUBSTITUTE(A39,"_","")))),
    INDEX(SFactors,,4)
)</f>
        <v>#N/A</v>
      </c>
      <c r="AD39" s="3" t="e">
        <f t="array" ref="AD39">_xlfn.XLOOKUP(1,(INDEX(SFactors,,2)=10^LEFT(A39,1))*(INDEX(SFactors,,3)=(LEN(A39)-LEN(SUBSTITUTE(A39,"_","")))),INDEX(SFactors,,5))</f>
        <v>#N/A</v>
      </c>
      <c r="AE39" s="3" t="e">
        <f t="shared" si="3"/>
        <v>#N/A</v>
      </c>
    </row>
    <row r="40" spans="1:3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"/>
      <c r="Q40" s="3">
        <f t="shared" si="0"/>
        <v>170</v>
      </c>
      <c r="R40" s="36">
        <f t="shared" si="4"/>
        <v>50</v>
      </c>
      <c r="S40"/>
      <c r="AA40" s="2" t="e">
        <f t="array" ref="AA40">_xlfn.XLOOKUP(1,(INDEX(SFactors,,2)=10^LEFT(A40,1))*(INDEX(SFactors,,3)=(LEN(A40)-LEN(SUBSTITUTE(A40,"_","")))),INDEX(SFactors,,4))*PreTenB+(C40-PreTenB)*_xlfn.XLOOKUP(1,(INDEX(SFactors,,2)=10^LEFT(A40,1))*(INDEX(SFactors,,3)=(LEN(A40)-LEN(SUBSTITUTE(A40,"_","")))),INDEX(SFactors,,5))</f>
        <v>#N/A</v>
      </c>
      <c r="AB40" s="25" t="e">
        <f t="shared" si="5"/>
        <v>#N/A</v>
      </c>
      <c r="AC40" s="2" t="e">
        <f t="array" ref="AC40">_xlfn.XLOOKUP(1,
    (INDEX(SFactors,,2)=10^LEFT(A40,1)) *
    (INDEX(SFactors,,3)=(LEN(A40)-LEN(SUBSTITUTE(A40,"_","")))),
    INDEX(SFactors,,4)
)</f>
        <v>#N/A</v>
      </c>
      <c r="AD40" s="3" t="e">
        <f t="array" ref="AD40">_xlfn.XLOOKUP(1,(INDEX(SFactors,,2)=10^LEFT(A40,1))*(INDEX(SFactors,,3)=(LEN(A40)-LEN(SUBSTITUTE(A40,"_","")))),INDEX(SFactors,,5))</f>
        <v>#N/A</v>
      </c>
      <c r="AE40" s="3" t="e">
        <f t="shared" si="3"/>
        <v>#N/A</v>
      </c>
    </row>
    <row r="41" spans="1:3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"/>
      <c r="Q41" s="3">
        <f t="shared" si="0"/>
        <v>182</v>
      </c>
      <c r="R41" s="36">
        <f t="shared" si="4"/>
        <v>62</v>
      </c>
      <c r="S41"/>
      <c r="AA41" s="2" t="e">
        <f t="array" ref="AA41">_xlfn.XLOOKUP(1,(INDEX(SFactors,,2)=10^LEFT(A41,1))*(INDEX(SFactors,,3)=(LEN(A41)-LEN(SUBSTITUTE(A41,"_","")))),INDEX(SFactors,,4))*PreTenB+(C41-PreTenB)*_xlfn.XLOOKUP(1,(INDEX(SFactors,,2)=10^LEFT(A41,1))*(INDEX(SFactors,,3)=(LEN(A41)-LEN(SUBSTITUTE(A41,"_","")))),INDEX(SFactors,,5))</f>
        <v>#N/A</v>
      </c>
      <c r="AB41" s="25" t="e">
        <f t="shared" si="5"/>
        <v>#N/A</v>
      </c>
      <c r="AC41" s="2" t="e">
        <f t="array" ref="AC41">_xlfn.XLOOKUP(1,
    (INDEX(SFactors,,2)=10^LEFT(A41,1)) *
    (INDEX(SFactors,,3)=(LEN(A41)-LEN(SUBSTITUTE(A41,"_","")))),
    INDEX(SFactors,,4)
)</f>
        <v>#N/A</v>
      </c>
      <c r="AD41" s="3" t="e">
        <f t="array" ref="AD41">_xlfn.XLOOKUP(1,(INDEX(SFactors,,2)=10^LEFT(A41,1))*(INDEX(SFactors,,3)=(LEN(A41)-LEN(SUBSTITUTE(A41,"_","")))),INDEX(SFactors,,5))</f>
        <v>#N/A</v>
      </c>
      <c r="AE41" s="3" t="e">
        <f t="shared" si="3"/>
        <v>#N/A</v>
      </c>
    </row>
    <row r="42" spans="1:3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2"/>
      <c r="Q42" s="3">
        <f t="shared" si="0"/>
        <v>194</v>
      </c>
      <c r="R42" s="36">
        <f t="shared" si="4"/>
        <v>62</v>
      </c>
      <c r="S42"/>
      <c r="AA42" s="2" t="e">
        <f t="array" ref="AA42">_xlfn.XLOOKUP(1,(INDEX(SFactors,,2)=10^LEFT(A42,1))*(INDEX(SFactors,,3)=(LEN(A42)-LEN(SUBSTITUTE(A42,"_","")))),INDEX(SFactors,,4))*PreTenB+(C42-PreTenB)*_xlfn.XLOOKUP(1,(INDEX(SFactors,,2)=10^LEFT(A42,1))*(INDEX(SFactors,,3)=(LEN(A42)-LEN(SUBSTITUTE(A42,"_","")))),INDEX(SFactors,,5))</f>
        <v>#N/A</v>
      </c>
      <c r="AB42" s="25" t="e">
        <f t="shared" si="5"/>
        <v>#N/A</v>
      </c>
      <c r="AC42" s="2" t="e">
        <f t="array" ref="AC42">_xlfn.XLOOKUP(1,
    (INDEX(SFactors,,2)=10^LEFT(A42,1)) *
    (INDEX(SFactors,,3)=(LEN(A42)-LEN(SUBSTITUTE(A42,"_","")))),
    INDEX(SFactors,,4)
)</f>
        <v>#N/A</v>
      </c>
      <c r="AD42" s="3" t="e">
        <f t="array" ref="AD42">_xlfn.XLOOKUP(1,(INDEX(SFactors,,2)=10^LEFT(A42,1))*(INDEX(SFactors,,3)=(LEN(A42)-LEN(SUBSTITUTE(A42,"_","")))),INDEX(SFactors,,5))</f>
        <v>#N/A</v>
      </c>
      <c r="AE42" s="3" t="e">
        <f t="shared" si="3"/>
        <v>#N/A</v>
      </c>
    </row>
    <row r="43" spans="1:3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"/>
      <c r="Q43" s="3">
        <f t="shared" si="0"/>
        <v>206</v>
      </c>
      <c r="R43" s="36">
        <f t="shared" si="4"/>
        <v>62</v>
      </c>
      <c r="S43"/>
      <c r="AA43" s="2" t="e">
        <f t="array" ref="AA43">_xlfn.XLOOKUP(1,(INDEX(SFactors,,2)=10^LEFT(A43,1))*(INDEX(SFactors,,3)=(LEN(A43)-LEN(SUBSTITUTE(A43,"_","")))),INDEX(SFactors,,4))*PreTenB+(C43-PreTenB)*_xlfn.XLOOKUP(1,(INDEX(SFactors,,2)=10^LEFT(A43,1))*(INDEX(SFactors,,3)=(LEN(A43)-LEN(SUBSTITUTE(A43,"_","")))),INDEX(SFactors,,5))</f>
        <v>#N/A</v>
      </c>
      <c r="AB43" s="25" t="e">
        <f t="shared" si="5"/>
        <v>#N/A</v>
      </c>
      <c r="AC43" s="2" t="e">
        <f t="array" ref="AC43">_xlfn.XLOOKUP(1,
    (INDEX(SFactors,,2)=10^LEFT(A43,1)) *
    (INDEX(SFactors,,3)=(LEN(A43)-LEN(SUBSTITUTE(A43,"_","")))),
    INDEX(SFactors,,4)
)</f>
        <v>#N/A</v>
      </c>
      <c r="AD43" s="3" t="e">
        <f t="array" ref="AD43">_xlfn.XLOOKUP(1,(INDEX(SFactors,,2)=10^LEFT(A43,1))*(INDEX(SFactors,,3)=(LEN(A43)-LEN(SUBSTITUTE(A43,"_","")))),INDEX(SFactors,,5))</f>
        <v>#N/A</v>
      </c>
      <c r="AE43" s="3" t="e">
        <f t="shared" si="3"/>
        <v>#N/A</v>
      </c>
    </row>
    <row r="44" spans="1:3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2"/>
      <c r="Q44" s="3">
        <f t="shared" si="0"/>
        <v>218</v>
      </c>
      <c r="R44" s="36">
        <f t="shared" si="4"/>
        <v>74</v>
      </c>
      <c r="S44"/>
      <c r="AA44" s="2" t="e">
        <f t="array" ref="AA44">_xlfn.XLOOKUP(1,(INDEX(SFactors,,2)=10^LEFT(A44,1))*(INDEX(SFactors,,3)=(LEN(A44)-LEN(SUBSTITUTE(A44,"_","")))),INDEX(SFactors,,4))*PreTenB+(C44-PreTenB)*_xlfn.XLOOKUP(1,(INDEX(SFactors,,2)=10^LEFT(A44,1))*(INDEX(SFactors,,3)=(LEN(A44)-LEN(SUBSTITUTE(A44,"_","")))),INDEX(SFactors,,5))</f>
        <v>#N/A</v>
      </c>
      <c r="AB44" s="25" t="e">
        <f t="shared" si="5"/>
        <v>#N/A</v>
      </c>
      <c r="AC44" s="2" t="e">
        <f t="array" ref="AC44">_xlfn.XLOOKUP(1,
    (INDEX(SFactors,,2)=10^LEFT(A44,1)) *
    (INDEX(SFactors,,3)=(LEN(A44)-LEN(SUBSTITUTE(A44,"_","")))),
    INDEX(SFactors,,4)
)</f>
        <v>#N/A</v>
      </c>
      <c r="AD44" s="3" t="e">
        <f t="array" ref="AD44">_xlfn.XLOOKUP(1,(INDEX(SFactors,,2)=10^LEFT(A44,1))*(INDEX(SFactors,,3)=(LEN(A44)-LEN(SUBSTITUTE(A44,"_","")))),INDEX(SFactors,,5))</f>
        <v>#N/A</v>
      </c>
      <c r="AE44" s="3" t="e">
        <f t="shared" si="3"/>
        <v>#N/A</v>
      </c>
    </row>
    <row r="45" spans="1:3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2"/>
      <c r="Q45" s="3">
        <f t="shared" si="0"/>
        <v>230</v>
      </c>
      <c r="R45" s="36">
        <f t="shared" si="4"/>
        <v>74</v>
      </c>
      <c r="S45"/>
      <c r="AA45" s="2" t="e">
        <f t="array" ref="AA45">_xlfn.XLOOKUP(1,(INDEX(SFactors,,2)=10^LEFT(A45,1))*(INDEX(SFactors,,3)=(LEN(A45)-LEN(SUBSTITUTE(A45,"_","")))),INDEX(SFactors,,4))*PreTenB+(C45-PreTenB)*_xlfn.XLOOKUP(1,(INDEX(SFactors,,2)=10^LEFT(A45,1))*(INDEX(SFactors,,3)=(LEN(A45)-LEN(SUBSTITUTE(A45,"_","")))),INDEX(SFactors,,5))</f>
        <v>#N/A</v>
      </c>
      <c r="AB45" s="25" t="e">
        <f t="shared" si="5"/>
        <v>#N/A</v>
      </c>
      <c r="AC45" s="2" t="e">
        <f t="array" ref="AC45">_xlfn.XLOOKUP(1,
    (INDEX(SFactors,,2)=10^LEFT(A45,1)) *
    (INDEX(SFactors,,3)=(LEN(A45)-LEN(SUBSTITUTE(A45,"_","")))),
    INDEX(SFactors,,4)
)</f>
        <v>#N/A</v>
      </c>
      <c r="AD45" s="3" t="e">
        <f t="array" ref="AD45">_xlfn.XLOOKUP(1,(INDEX(SFactors,,2)=10^LEFT(A45,1))*(INDEX(SFactors,,3)=(LEN(A45)-LEN(SUBSTITUTE(A45,"_","")))),INDEX(SFactors,,5))</f>
        <v>#N/A</v>
      </c>
      <c r="AE45" s="3" t="e">
        <f t="shared" si="3"/>
        <v>#N/A</v>
      </c>
    </row>
    <row r="46" spans="1:3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2"/>
      <c r="Q46" s="3">
        <f t="shared" si="0"/>
        <v>242</v>
      </c>
      <c r="R46" s="36">
        <f t="shared" si="4"/>
        <v>74</v>
      </c>
      <c r="S46"/>
      <c r="AA46" s="2" t="e">
        <f t="array" ref="AA46">_xlfn.XLOOKUP(1,(INDEX(SFactors,,2)=10^LEFT(A46,1))*(INDEX(SFactors,,3)=(LEN(A46)-LEN(SUBSTITUTE(A46,"_","")))),INDEX(SFactors,,4))*PreTenB+(C46-PreTenB)*_xlfn.XLOOKUP(1,(INDEX(SFactors,,2)=10^LEFT(A46,1))*(INDEX(SFactors,,3)=(LEN(A46)-LEN(SUBSTITUTE(A46,"_","")))),INDEX(SFactors,,5))</f>
        <v>#N/A</v>
      </c>
      <c r="AB46" s="25" t="e">
        <f t="shared" si="5"/>
        <v>#N/A</v>
      </c>
      <c r="AC46" s="2" t="e">
        <f t="array" ref="AC46">_xlfn.XLOOKUP(1,
    (INDEX(SFactors,,2)=10^LEFT(A46,1)) *
    (INDEX(SFactors,,3)=(LEN(A46)-LEN(SUBSTITUTE(A46,"_","")))),
    INDEX(SFactors,,4)
)</f>
        <v>#N/A</v>
      </c>
      <c r="AD46" s="3" t="e">
        <f t="array" ref="AD46">_xlfn.XLOOKUP(1,(INDEX(SFactors,,2)=10^LEFT(A46,1))*(INDEX(SFactors,,3)=(LEN(A46)-LEN(SUBSTITUTE(A46,"_","")))),INDEX(SFactors,,5))</f>
        <v>#N/A</v>
      </c>
      <c r="AE46" s="3" t="e">
        <f t="shared" si="3"/>
        <v>#N/A</v>
      </c>
    </row>
    <row r="47" spans="1:3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2"/>
      <c r="Q47" s="3">
        <f t="shared" si="0"/>
        <v>3</v>
      </c>
      <c r="R47" s="36">
        <f t="shared" si="4"/>
        <v>3</v>
      </c>
      <c r="S47"/>
      <c r="AA47" s="2" t="e">
        <f t="array" ref="AA47">_xlfn.XLOOKUP(1,(INDEX(SFactors,,2)=10^LEFT(A47,1))*(INDEX(SFactors,,3)=(LEN(A47)-LEN(SUBSTITUTE(A47,"_","")))),INDEX(SFactors,,4))*PreTenB+(C47-PreTenB)*_xlfn.XLOOKUP(1,(INDEX(SFactors,,2)=10^LEFT(A47,1))*(INDEX(SFactors,,3)=(LEN(A47)-LEN(SUBSTITUTE(A47,"_","")))),INDEX(SFactors,,5))</f>
        <v>#N/A</v>
      </c>
      <c r="AB47" s="25" t="e">
        <f t="shared" si="5"/>
        <v>#N/A</v>
      </c>
      <c r="AC47" s="2" t="e">
        <f t="array" ref="AC47">_xlfn.XLOOKUP(1,
    (INDEX(SFactors,,2)=10^LEFT(A47,1)) *
    (INDEX(SFactors,,3)=(LEN(A47)-LEN(SUBSTITUTE(A47,"_","")))),
    INDEX(SFactors,,4)
)</f>
        <v>#N/A</v>
      </c>
      <c r="AD47" s="3" t="e">
        <f t="array" ref="AD47">_xlfn.XLOOKUP(1,(INDEX(SFactors,,2)=10^LEFT(A47,1))*(INDEX(SFactors,,3)=(LEN(A47)-LEN(SUBSTITUTE(A47,"_","")))),INDEX(SFactors,,5))</f>
        <v>#N/A</v>
      </c>
      <c r="AE47" s="3" t="e">
        <f t="shared" si="3"/>
        <v>#N/A</v>
      </c>
    </row>
    <row r="48" spans="1:3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2"/>
      <c r="Q48" s="3">
        <f t="shared" si="0"/>
        <v>15</v>
      </c>
      <c r="R48" s="36">
        <f t="shared" si="4"/>
        <v>3</v>
      </c>
      <c r="S48"/>
      <c r="AA48" s="2" t="e">
        <f t="array" ref="AA48">_xlfn.XLOOKUP(1,(INDEX(SFactors,,2)=10^LEFT(A48,1))*(INDEX(SFactors,,3)=(LEN(A48)-LEN(SUBSTITUTE(A48,"_","")))),INDEX(SFactors,,4))*PreTenB+(C48-PreTenB)*_xlfn.XLOOKUP(1,(INDEX(SFactors,,2)=10^LEFT(A48,1))*(INDEX(SFactors,,3)=(LEN(A48)-LEN(SUBSTITUTE(A48,"_","")))),INDEX(SFactors,,5))</f>
        <v>#N/A</v>
      </c>
      <c r="AB48" s="25" t="e">
        <f t="shared" si="5"/>
        <v>#N/A</v>
      </c>
      <c r="AC48" s="2" t="e">
        <f t="array" ref="AC48">_xlfn.XLOOKUP(1,
    (INDEX(SFactors,,2)=10^LEFT(A48,1)) *
    (INDEX(SFactors,,3)=(LEN(A48)-LEN(SUBSTITUTE(A48,"_","")))),
    INDEX(SFactors,,4)
)</f>
        <v>#N/A</v>
      </c>
      <c r="AD48" s="3" t="e">
        <f t="array" ref="AD48">_xlfn.XLOOKUP(1,(INDEX(SFactors,,2)=10^LEFT(A48,1))*(INDEX(SFactors,,3)=(LEN(A48)-LEN(SUBSTITUTE(A48,"_","")))),INDEX(SFactors,,5))</f>
        <v>#N/A</v>
      </c>
      <c r="AE48" s="3" t="e">
        <f t="shared" si="3"/>
        <v>#N/A</v>
      </c>
    </row>
    <row r="49" spans="1:3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2"/>
      <c r="Q49" s="3">
        <f t="shared" si="0"/>
        <v>27</v>
      </c>
      <c r="R49" s="36">
        <f t="shared" si="4"/>
        <v>3</v>
      </c>
      <c r="S49"/>
      <c r="AA49" s="2" t="e">
        <f t="array" ref="AA49">_xlfn.XLOOKUP(1,(INDEX(SFactors,,2)=10^LEFT(A49,1))*(INDEX(SFactors,,3)=(LEN(A49)-LEN(SUBSTITUTE(A49,"_","")))),INDEX(SFactors,,4))*PreTenB+(C49-PreTenB)*_xlfn.XLOOKUP(1,(INDEX(SFactors,,2)=10^LEFT(A49,1))*(INDEX(SFactors,,3)=(LEN(A49)-LEN(SUBSTITUTE(A49,"_","")))),INDEX(SFactors,,5))</f>
        <v>#N/A</v>
      </c>
      <c r="AB49" s="25" t="e">
        <f t="shared" si="5"/>
        <v>#N/A</v>
      </c>
      <c r="AC49" s="2" t="e">
        <f t="array" ref="AC49">_xlfn.XLOOKUP(1,
    (INDEX(SFactors,,2)=10^LEFT(A49,1)) *
    (INDEX(SFactors,,3)=(LEN(A49)-LEN(SUBSTITUTE(A49,"_","")))),
    INDEX(SFactors,,4)
)</f>
        <v>#N/A</v>
      </c>
      <c r="AD49" s="3" t="e">
        <f t="array" ref="AD49">_xlfn.XLOOKUP(1,(INDEX(SFactors,,2)=10^LEFT(A49,1))*(INDEX(SFactors,,3)=(LEN(A49)-LEN(SUBSTITUTE(A49,"_","")))),INDEX(SFactors,,5))</f>
        <v>#N/A</v>
      </c>
      <c r="AE49" s="3" t="e">
        <f t="shared" si="3"/>
        <v>#N/A</v>
      </c>
    </row>
    <row r="50" spans="1:3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2"/>
      <c r="Q50" s="3">
        <f t="shared" si="0"/>
        <v>39</v>
      </c>
      <c r="R50" s="36">
        <f t="shared" si="4"/>
        <v>15</v>
      </c>
      <c r="S50"/>
      <c r="AA50" s="2" t="e">
        <f t="array" ref="AA50">_xlfn.XLOOKUP(1,(INDEX(SFactors,,2)=10^LEFT(A50,1))*(INDEX(SFactors,,3)=(LEN(A50)-LEN(SUBSTITUTE(A50,"_","")))),INDEX(SFactors,,4))*PreTenB+(C50-PreTenB)*_xlfn.XLOOKUP(1,(INDEX(SFactors,,2)=10^LEFT(A50,1))*(INDEX(SFactors,,3)=(LEN(A50)-LEN(SUBSTITUTE(A50,"_","")))),INDEX(SFactors,,5))</f>
        <v>#N/A</v>
      </c>
      <c r="AB50" s="25" t="e">
        <f t="shared" si="5"/>
        <v>#N/A</v>
      </c>
      <c r="AC50" s="2" t="e">
        <f t="array" ref="AC50">_xlfn.XLOOKUP(1,
    (INDEX(SFactors,,2)=10^LEFT(A50,1)) *
    (INDEX(SFactors,,3)=(LEN(A50)-LEN(SUBSTITUTE(A50,"_","")))),
    INDEX(SFactors,,4)
)</f>
        <v>#N/A</v>
      </c>
      <c r="AD50" s="3" t="e">
        <f t="array" ref="AD50">_xlfn.XLOOKUP(1,(INDEX(SFactors,,2)=10^LEFT(A50,1))*(INDEX(SFactors,,3)=(LEN(A50)-LEN(SUBSTITUTE(A50,"_","")))),INDEX(SFactors,,5))</f>
        <v>#N/A</v>
      </c>
      <c r="AE50" s="3" t="e">
        <f t="shared" si="3"/>
        <v>#N/A</v>
      </c>
    </row>
    <row r="51" spans="1:3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2"/>
      <c r="Q51" s="3">
        <f t="shared" si="0"/>
        <v>51</v>
      </c>
      <c r="R51" s="36">
        <f t="shared" si="4"/>
        <v>15</v>
      </c>
      <c r="S51"/>
      <c r="AA51" s="2" t="e">
        <f t="array" ref="AA51">_xlfn.XLOOKUP(1,(INDEX(SFactors,,2)=10^LEFT(A51,1))*(INDEX(SFactors,,3)=(LEN(A51)-LEN(SUBSTITUTE(A51,"_","")))),INDEX(SFactors,,4))*PreTenB+(C51-PreTenB)*_xlfn.XLOOKUP(1,(INDEX(SFactors,,2)=10^LEFT(A51,1))*(INDEX(SFactors,,3)=(LEN(A51)-LEN(SUBSTITUTE(A51,"_","")))),INDEX(SFactors,,5))</f>
        <v>#N/A</v>
      </c>
      <c r="AB51" s="25" t="e">
        <f t="shared" si="5"/>
        <v>#N/A</v>
      </c>
      <c r="AC51" s="2" t="e">
        <f t="array" ref="AC51">_xlfn.XLOOKUP(1,
    (INDEX(SFactors,,2)=10^LEFT(A51,1)) *
    (INDEX(SFactors,,3)=(LEN(A51)-LEN(SUBSTITUTE(A51,"_","")))),
    INDEX(SFactors,,4)
)</f>
        <v>#N/A</v>
      </c>
      <c r="AD51" s="3" t="e">
        <f t="array" ref="AD51">_xlfn.XLOOKUP(1,(INDEX(SFactors,,2)=10^LEFT(A51,1))*(INDEX(SFactors,,3)=(LEN(A51)-LEN(SUBSTITUTE(A51,"_","")))),INDEX(SFactors,,5))</f>
        <v>#N/A</v>
      </c>
      <c r="AE51" s="3" t="e">
        <f t="shared" si="3"/>
        <v>#N/A</v>
      </c>
    </row>
    <row r="52" spans="1:3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2"/>
      <c r="Q52" s="3">
        <f t="shared" si="0"/>
        <v>63</v>
      </c>
      <c r="R52" s="36">
        <f t="shared" si="4"/>
        <v>15</v>
      </c>
      <c r="S52"/>
      <c r="AA52" s="2" t="e">
        <f t="array" ref="AA52">_xlfn.XLOOKUP(1,(INDEX(SFactors,,2)=10^LEFT(A52,1))*(INDEX(SFactors,,3)=(LEN(A52)-LEN(SUBSTITUTE(A52,"_","")))),INDEX(SFactors,,4))*PreTenB+(C52-PreTenB)*_xlfn.XLOOKUP(1,(INDEX(SFactors,,2)=10^LEFT(A52,1))*(INDEX(SFactors,,3)=(LEN(A52)-LEN(SUBSTITUTE(A52,"_","")))),INDEX(SFactors,,5))</f>
        <v>#N/A</v>
      </c>
      <c r="AB52" s="25" t="e">
        <f t="shared" si="5"/>
        <v>#N/A</v>
      </c>
      <c r="AC52" s="2" t="e">
        <f t="array" ref="AC52">_xlfn.XLOOKUP(1,
    (INDEX(SFactors,,2)=10^LEFT(A52,1)) *
    (INDEX(SFactors,,3)=(LEN(A52)-LEN(SUBSTITUTE(A52,"_","")))),
    INDEX(SFactors,,4)
)</f>
        <v>#N/A</v>
      </c>
      <c r="AD52" s="3" t="e">
        <f t="array" ref="AD52">_xlfn.XLOOKUP(1,(INDEX(SFactors,,2)=10^LEFT(A52,1))*(INDEX(SFactors,,3)=(LEN(A52)-LEN(SUBSTITUTE(A52,"_","")))),INDEX(SFactors,,5))</f>
        <v>#N/A</v>
      </c>
      <c r="AE52" s="3" t="e">
        <f t="shared" si="3"/>
        <v>#N/A</v>
      </c>
    </row>
    <row r="53" spans="1:3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"/>
      <c r="Q53" s="3">
        <f t="shared" si="0"/>
        <v>75</v>
      </c>
      <c r="R53" s="36">
        <f t="shared" si="4"/>
        <v>27</v>
      </c>
      <c r="S53"/>
      <c r="AA53" s="2" t="e">
        <f t="array" ref="AA53">_xlfn.XLOOKUP(1,(INDEX(SFactors,,2)=10^LEFT(A53,1))*(INDEX(SFactors,,3)=(LEN(A53)-LEN(SUBSTITUTE(A53,"_","")))),INDEX(SFactors,,4))*PreTenB+(C53-PreTenB)*_xlfn.XLOOKUP(1,(INDEX(SFactors,,2)=10^LEFT(A53,1))*(INDEX(SFactors,,3)=(LEN(A53)-LEN(SUBSTITUTE(A53,"_","")))),INDEX(SFactors,,5))</f>
        <v>#N/A</v>
      </c>
      <c r="AB53" s="25" t="e">
        <f t="shared" si="5"/>
        <v>#N/A</v>
      </c>
      <c r="AC53" s="2" t="e">
        <f t="array" ref="AC53">_xlfn.XLOOKUP(1,
    (INDEX(SFactors,,2)=10^LEFT(A53,1)) *
    (INDEX(SFactors,,3)=(LEN(A53)-LEN(SUBSTITUTE(A53,"_","")))),
    INDEX(SFactors,,4)
)</f>
        <v>#N/A</v>
      </c>
      <c r="AD53" s="3" t="e">
        <f t="array" ref="AD53">_xlfn.XLOOKUP(1,(INDEX(SFactors,,2)=10^LEFT(A53,1))*(INDEX(SFactors,,3)=(LEN(A53)-LEN(SUBSTITUTE(A53,"_","")))),INDEX(SFactors,,5))</f>
        <v>#N/A</v>
      </c>
      <c r="AE53" s="3" t="e">
        <f t="shared" si="3"/>
        <v>#N/A</v>
      </c>
    </row>
    <row r="54" spans="1:3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2"/>
      <c r="Q54" s="3">
        <f t="shared" si="0"/>
        <v>87</v>
      </c>
      <c r="R54" s="36">
        <f t="shared" si="4"/>
        <v>27</v>
      </c>
      <c r="S54"/>
      <c r="AA54" s="2" t="e">
        <f t="array" ref="AA54">_xlfn.XLOOKUP(1,(INDEX(SFactors,,2)=10^LEFT(A54,1))*(INDEX(SFactors,,3)=(LEN(A54)-LEN(SUBSTITUTE(A54,"_","")))),INDEX(SFactors,,4))*PreTenB+(C54-PreTenB)*_xlfn.XLOOKUP(1,(INDEX(SFactors,,2)=10^LEFT(A54,1))*(INDEX(SFactors,,3)=(LEN(A54)-LEN(SUBSTITUTE(A54,"_","")))),INDEX(SFactors,,5))</f>
        <v>#N/A</v>
      </c>
      <c r="AB54" s="25" t="e">
        <f t="shared" si="5"/>
        <v>#N/A</v>
      </c>
      <c r="AC54" s="2" t="e">
        <f t="array" ref="AC54">_xlfn.XLOOKUP(1,
    (INDEX(SFactors,,2)=10^LEFT(A54,1)) *
    (INDEX(SFactors,,3)=(LEN(A54)-LEN(SUBSTITUTE(A54,"_","")))),
    INDEX(SFactors,,4)
)</f>
        <v>#N/A</v>
      </c>
      <c r="AD54" s="3" t="e">
        <f t="array" ref="AD54">_xlfn.XLOOKUP(1,(INDEX(SFactors,,2)=10^LEFT(A54,1))*(INDEX(SFactors,,3)=(LEN(A54)-LEN(SUBSTITUTE(A54,"_","")))),INDEX(SFactors,,5))</f>
        <v>#N/A</v>
      </c>
      <c r="AE54" s="3" t="e">
        <f t="shared" si="3"/>
        <v>#N/A</v>
      </c>
    </row>
    <row r="55" spans="1:3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2"/>
      <c r="Q55" s="3">
        <f t="shared" si="0"/>
        <v>99</v>
      </c>
      <c r="R55" s="36">
        <f t="shared" si="4"/>
        <v>27</v>
      </c>
      <c r="S55"/>
      <c r="AA55" s="2" t="e">
        <f t="array" ref="AA55">_xlfn.XLOOKUP(1,(INDEX(SFactors,,2)=10^LEFT(A55,1))*(INDEX(SFactors,,3)=(LEN(A55)-LEN(SUBSTITUTE(A55,"_","")))),INDEX(SFactors,,4))*PreTenB+(C55-PreTenB)*_xlfn.XLOOKUP(1,(INDEX(SFactors,,2)=10^LEFT(A55,1))*(INDEX(SFactors,,3)=(LEN(A55)-LEN(SUBSTITUTE(A55,"_","")))),INDEX(SFactors,,5))</f>
        <v>#N/A</v>
      </c>
      <c r="AB55" s="25" t="e">
        <f t="shared" si="5"/>
        <v>#N/A</v>
      </c>
      <c r="AC55" s="2" t="e">
        <f t="array" ref="AC55">_xlfn.XLOOKUP(1,
    (INDEX(SFactors,,2)=10^LEFT(A55,1)) *
    (INDEX(SFactors,,3)=(LEN(A55)-LEN(SUBSTITUTE(A55,"_","")))),
    INDEX(SFactors,,4)
)</f>
        <v>#N/A</v>
      </c>
      <c r="AD55" s="3" t="e">
        <f t="array" ref="AD55">_xlfn.XLOOKUP(1,(INDEX(SFactors,,2)=10^LEFT(A55,1))*(INDEX(SFactors,,3)=(LEN(A55)-LEN(SUBSTITUTE(A55,"_","")))),INDEX(SFactors,,5))</f>
        <v>#N/A</v>
      </c>
      <c r="AE55" s="3" t="e">
        <f t="shared" si="3"/>
        <v>#N/A</v>
      </c>
    </row>
    <row r="56" spans="1:3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2"/>
      <c r="Q56" s="3">
        <f t="shared" si="0"/>
        <v>111</v>
      </c>
      <c r="R56" s="36">
        <f t="shared" si="4"/>
        <v>39</v>
      </c>
      <c r="S56"/>
      <c r="AA56" s="2" t="e">
        <f t="array" ref="AA56">_xlfn.XLOOKUP(1,(INDEX(SFactors,,2)=10^LEFT(A56,1))*(INDEX(SFactors,,3)=(LEN(A56)-LEN(SUBSTITUTE(A56,"_","")))),INDEX(SFactors,,4))*PreTenB+(C56-PreTenB)*_xlfn.XLOOKUP(1,(INDEX(SFactors,,2)=10^LEFT(A56,1))*(INDEX(SFactors,,3)=(LEN(A56)-LEN(SUBSTITUTE(A56,"_","")))),INDEX(SFactors,,5))</f>
        <v>#N/A</v>
      </c>
      <c r="AB56" s="25" t="e">
        <f t="shared" si="5"/>
        <v>#N/A</v>
      </c>
      <c r="AC56" s="2" t="e">
        <f t="array" ref="AC56">_xlfn.XLOOKUP(1,
    (INDEX(SFactors,,2)=10^LEFT(A56,1)) *
    (INDEX(SFactors,,3)=(LEN(A56)-LEN(SUBSTITUTE(A56,"_","")))),
    INDEX(SFactors,,4)
)</f>
        <v>#N/A</v>
      </c>
      <c r="AD56" s="3" t="e">
        <f t="array" ref="AD56">_xlfn.XLOOKUP(1,(INDEX(SFactors,,2)=10^LEFT(A56,1))*(INDEX(SFactors,,3)=(LEN(A56)-LEN(SUBSTITUTE(A56,"_","")))),INDEX(SFactors,,5))</f>
        <v>#N/A</v>
      </c>
      <c r="AE56" s="3" t="e">
        <f t="shared" si="3"/>
        <v>#N/A</v>
      </c>
    </row>
    <row r="57" spans="1:3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2"/>
      <c r="Q57" s="3">
        <f t="shared" si="0"/>
        <v>123</v>
      </c>
      <c r="R57" s="36">
        <f t="shared" si="4"/>
        <v>39</v>
      </c>
      <c r="S57"/>
      <c r="AA57" s="2" t="e">
        <f t="array" ref="AA57">_xlfn.XLOOKUP(1,(INDEX(SFactors,,2)=10^LEFT(A57,1))*(INDEX(SFactors,,3)=(LEN(A57)-LEN(SUBSTITUTE(A57,"_","")))),INDEX(SFactors,,4))*PreTenB+(C57-PreTenB)*_xlfn.XLOOKUP(1,(INDEX(SFactors,,2)=10^LEFT(A57,1))*(INDEX(SFactors,,3)=(LEN(A57)-LEN(SUBSTITUTE(A57,"_","")))),INDEX(SFactors,,5))</f>
        <v>#N/A</v>
      </c>
      <c r="AB57" s="25" t="e">
        <f t="shared" si="5"/>
        <v>#N/A</v>
      </c>
      <c r="AC57" s="2" t="e">
        <f t="array" ref="AC57">_xlfn.XLOOKUP(1,
    (INDEX(SFactors,,2)=10^LEFT(A57,1)) *
    (INDEX(SFactors,,3)=(LEN(A57)-LEN(SUBSTITUTE(A57,"_","")))),
    INDEX(SFactors,,4)
)</f>
        <v>#N/A</v>
      </c>
      <c r="AD57" s="3" t="e">
        <f t="array" ref="AD57">_xlfn.XLOOKUP(1,(INDEX(SFactors,,2)=10^LEFT(A57,1))*(INDEX(SFactors,,3)=(LEN(A57)-LEN(SUBSTITUTE(A57,"_","")))),INDEX(SFactors,,5))</f>
        <v>#N/A</v>
      </c>
      <c r="AE57" s="3" t="e">
        <f t="shared" si="3"/>
        <v>#N/A</v>
      </c>
    </row>
    <row r="58" spans="1:3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2"/>
      <c r="Q58" s="3">
        <f t="shared" si="0"/>
        <v>135</v>
      </c>
      <c r="R58" s="36">
        <f t="shared" si="4"/>
        <v>39</v>
      </c>
      <c r="S58"/>
      <c r="AA58" s="2" t="e">
        <f t="array" ref="AA58">_xlfn.XLOOKUP(1,(INDEX(SFactors,,2)=10^LEFT(A58,1))*(INDEX(SFactors,,3)=(LEN(A58)-LEN(SUBSTITUTE(A58,"_","")))),INDEX(SFactors,,4))*PreTenB+(C58-PreTenB)*_xlfn.XLOOKUP(1,(INDEX(SFactors,,2)=10^LEFT(A58,1))*(INDEX(SFactors,,3)=(LEN(A58)-LEN(SUBSTITUTE(A58,"_","")))),INDEX(SFactors,,5))</f>
        <v>#N/A</v>
      </c>
      <c r="AB58" s="25" t="e">
        <f t="shared" si="5"/>
        <v>#N/A</v>
      </c>
      <c r="AC58" s="2" t="e">
        <f t="array" ref="AC58">_xlfn.XLOOKUP(1,
    (INDEX(SFactors,,2)=10^LEFT(A58,1)) *
    (INDEX(SFactors,,3)=(LEN(A58)-LEN(SUBSTITUTE(A58,"_","")))),
    INDEX(SFactors,,4)
)</f>
        <v>#N/A</v>
      </c>
      <c r="AD58" s="3" t="e">
        <f t="array" ref="AD58">_xlfn.XLOOKUP(1,(INDEX(SFactors,,2)=10^LEFT(A58,1))*(INDEX(SFactors,,3)=(LEN(A58)-LEN(SUBSTITUTE(A58,"_","")))),INDEX(SFactors,,5))</f>
        <v>#N/A</v>
      </c>
      <c r="AE58" s="3" t="e">
        <f t="shared" si="3"/>
        <v>#N/A</v>
      </c>
    </row>
    <row r="59" spans="1:3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"/>
      <c r="Q59" s="3">
        <f t="shared" si="0"/>
        <v>147</v>
      </c>
      <c r="R59" s="36">
        <f t="shared" si="4"/>
        <v>51</v>
      </c>
      <c r="S59"/>
      <c r="AA59" s="2" t="e">
        <f t="array" ref="AA59">_xlfn.XLOOKUP(1,(INDEX(SFactors,,2)=10^LEFT(A59,1))*(INDEX(SFactors,,3)=(LEN(A59)-LEN(SUBSTITUTE(A59,"_","")))),INDEX(SFactors,,4))*PreTenB+(C59-PreTenB)*_xlfn.XLOOKUP(1,(INDEX(SFactors,,2)=10^LEFT(A59,1))*(INDEX(SFactors,,3)=(LEN(A59)-LEN(SUBSTITUTE(A59,"_","")))),INDEX(SFactors,,5))</f>
        <v>#N/A</v>
      </c>
      <c r="AB59" s="25" t="e">
        <f t="shared" si="5"/>
        <v>#N/A</v>
      </c>
      <c r="AC59" s="2" t="e">
        <f t="array" ref="AC59">_xlfn.XLOOKUP(1,
    (INDEX(SFactors,,2)=10^LEFT(A59,1)) *
    (INDEX(SFactors,,3)=(LEN(A59)-LEN(SUBSTITUTE(A59,"_","")))),
    INDEX(SFactors,,4)
)</f>
        <v>#N/A</v>
      </c>
      <c r="AD59" s="3" t="e">
        <f t="array" ref="AD59">_xlfn.XLOOKUP(1,(INDEX(SFactors,,2)=10^LEFT(A59,1))*(INDEX(SFactors,,3)=(LEN(A59)-LEN(SUBSTITUTE(A59,"_","")))),INDEX(SFactors,,5))</f>
        <v>#N/A</v>
      </c>
      <c r="AE59" s="3" t="e">
        <f t="shared" si="3"/>
        <v>#N/A</v>
      </c>
    </row>
    <row r="60" spans="1:3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"/>
      <c r="Q60" s="3">
        <f t="shared" si="0"/>
        <v>159</v>
      </c>
      <c r="R60" s="36">
        <f t="shared" si="4"/>
        <v>51</v>
      </c>
      <c r="S60"/>
      <c r="AA60" s="2" t="e">
        <f t="array" ref="AA60">_xlfn.XLOOKUP(1,(INDEX(SFactors,,2)=10^LEFT(A60,1))*(INDEX(SFactors,,3)=(LEN(A60)-LEN(SUBSTITUTE(A60,"_","")))),INDEX(SFactors,,4))*PreTenB+(C60-PreTenB)*_xlfn.XLOOKUP(1,(INDEX(SFactors,,2)=10^LEFT(A60,1))*(INDEX(SFactors,,3)=(LEN(A60)-LEN(SUBSTITUTE(A60,"_","")))),INDEX(SFactors,,5))</f>
        <v>#N/A</v>
      </c>
      <c r="AB60" s="25" t="e">
        <f t="shared" si="5"/>
        <v>#N/A</v>
      </c>
      <c r="AC60" s="2" t="e">
        <f t="array" ref="AC60">_xlfn.XLOOKUP(1,
    (INDEX(SFactors,,2)=10^LEFT(A60,1)) *
    (INDEX(SFactors,,3)=(LEN(A60)-LEN(SUBSTITUTE(A60,"_","")))),
    INDEX(SFactors,,4)
)</f>
        <v>#N/A</v>
      </c>
      <c r="AD60" s="3" t="e">
        <f t="array" ref="AD60">_xlfn.XLOOKUP(1,(INDEX(SFactors,,2)=10^LEFT(A60,1))*(INDEX(SFactors,,3)=(LEN(A60)-LEN(SUBSTITUTE(A60,"_","")))),INDEX(SFactors,,5))</f>
        <v>#N/A</v>
      </c>
      <c r="AE60" s="3" t="e">
        <f t="shared" si="3"/>
        <v>#N/A</v>
      </c>
    </row>
    <row r="61" spans="1:3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"/>
      <c r="Q61" s="3">
        <f t="shared" si="0"/>
        <v>171</v>
      </c>
      <c r="R61" s="36">
        <f t="shared" si="4"/>
        <v>51</v>
      </c>
      <c r="S61"/>
      <c r="AA61" s="2" t="e">
        <f t="array" ref="AA61">_xlfn.XLOOKUP(1,(INDEX(SFactors,,2)=10^LEFT(A61,1))*(INDEX(SFactors,,3)=(LEN(A61)-LEN(SUBSTITUTE(A61,"_","")))),INDEX(SFactors,,4))*PreTenB+(C61-PreTenB)*_xlfn.XLOOKUP(1,(INDEX(SFactors,,2)=10^LEFT(A61,1))*(INDEX(SFactors,,3)=(LEN(A61)-LEN(SUBSTITUTE(A61,"_","")))),INDEX(SFactors,,5))</f>
        <v>#N/A</v>
      </c>
      <c r="AB61" s="25" t="e">
        <f t="shared" si="5"/>
        <v>#N/A</v>
      </c>
      <c r="AC61" s="2" t="e">
        <f t="array" ref="AC61">_xlfn.XLOOKUP(1,
    (INDEX(SFactors,,2)=10^LEFT(A61,1)) *
    (INDEX(SFactors,,3)=(LEN(A61)-LEN(SUBSTITUTE(A61,"_","")))),
    INDEX(SFactors,,4)
)</f>
        <v>#N/A</v>
      </c>
      <c r="AD61" s="3" t="e">
        <f t="array" ref="AD61">_xlfn.XLOOKUP(1,(INDEX(SFactors,,2)=10^LEFT(A61,1))*(INDEX(SFactors,,3)=(LEN(A61)-LEN(SUBSTITUTE(A61,"_","")))),INDEX(SFactors,,5))</f>
        <v>#N/A</v>
      </c>
      <c r="AE61" s="3" t="e">
        <f t="shared" si="3"/>
        <v>#N/A</v>
      </c>
    </row>
    <row r="62" spans="1:3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2"/>
      <c r="Q62" s="3">
        <f t="shared" si="0"/>
        <v>183</v>
      </c>
      <c r="R62" s="36">
        <f t="shared" si="4"/>
        <v>63</v>
      </c>
      <c r="S62"/>
      <c r="AA62" s="2" t="e">
        <f t="array" ref="AA62">_xlfn.XLOOKUP(1,(INDEX(SFactors,,2)=10^LEFT(A62,1))*(INDEX(SFactors,,3)=(LEN(A62)-LEN(SUBSTITUTE(A62,"_","")))),INDEX(SFactors,,4))*PreTenB+(C62-PreTenB)*_xlfn.XLOOKUP(1,(INDEX(SFactors,,2)=10^LEFT(A62,1))*(INDEX(SFactors,,3)=(LEN(A62)-LEN(SUBSTITUTE(A62,"_","")))),INDEX(SFactors,,5))</f>
        <v>#N/A</v>
      </c>
      <c r="AB62" s="25" t="e">
        <f t="shared" si="5"/>
        <v>#N/A</v>
      </c>
      <c r="AC62" s="2" t="e">
        <f t="array" ref="AC62">_xlfn.XLOOKUP(1,
    (INDEX(SFactors,,2)=10^LEFT(A62,1)) *
    (INDEX(SFactors,,3)=(LEN(A62)-LEN(SUBSTITUTE(A62,"_","")))),
    INDEX(SFactors,,4)
)</f>
        <v>#N/A</v>
      </c>
      <c r="AD62" s="3" t="e">
        <f t="array" ref="AD62">_xlfn.XLOOKUP(1,(INDEX(SFactors,,2)=10^LEFT(A62,1))*(INDEX(SFactors,,3)=(LEN(A62)-LEN(SUBSTITUTE(A62,"_","")))),INDEX(SFactors,,5))</f>
        <v>#N/A</v>
      </c>
      <c r="AE62" s="3" t="e">
        <f t="shared" si="3"/>
        <v>#N/A</v>
      </c>
    </row>
    <row r="63" spans="1:3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"/>
      <c r="Q63" s="3">
        <f t="shared" si="0"/>
        <v>195</v>
      </c>
      <c r="R63" s="36">
        <f t="shared" si="4"/>
        <v>63</v>
      </c>
      <c r="S63"/>
      <c r="AA63" s="2" t="e">
        <f t="array" ref="AA63">_xlfn.XLOOKUP(1,(INDEX(SFactors,,2)=10^LEFT(A63,1))*(INDEX(SFactors,,3)=(LEN(A63)-LEN(SUBSTITUTE(A63,"_","")))),INDEX(SFactors,,4))*PreTenB+(C63-PreTenB)*_xlfn.XLOOKUP(1,(INDEX(SFactors,,2)=10^LEFT(A63,1))*(INDEX(SFactors,,3)=(LEN(A63)-LEN(SUBSTITUTE(A63,"_","")))),INDEX(SFactors,,5))</f>
        <v>#N/A</v>
      </c>
      <c r="AB63" s="25" t="e">
        <f t="shared" si="5"/>
        <v>#N/A</v>
      </c>
      <c r="AC63" s="2" t="e">
        <f t="array" ref="AC63">_xlfn.XLOOKUP(1,
    (INDEX(SFactors,,2)=10^LEFT(A63,1)) *
    (INDEX(SFactors,,3)=(LEN(A63)-LEN(SUBSTITUTE(A63,"_","")))),
    INDEX(SFactors,,4)
)</f>
        <v>#N/A</v>
      </c>
      <c r="AD63" s="3" t="e">
        <f t="array" ref="AD63">_xlfn.XLOOKUP(1,(INDEX(SFactors,,2)=10^LEFT(A63,1))*(INDEX(SFactors,,3)=(LEN(A63)-LEN(SUBSTITUTE(A63,"_","")))),INDEX(SFactors,,5))</f>
        <v>#N/A</v>
      </c>
      <c r="AE63" s="3" t="e">
        <f t="shared" si="3"/>
        <v>#N/A</v>
      </c>
    </row>
    <row r="64" spans="1:3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"/>
      <c r="Q64" s="3">
        <f t="shared" si="0"/>
        <v>207</v>
      </c>
      <c r="R64" s="36">
        <f t="shared" si="4"/>
        <v>63</v>
      </c>
      <c r="S64"/>
      <c r="AA64" s="2" t="e">
        <f t="array" ref="AA64">_xlfn.XLOOKUP(1,(INDEX(SFactors,,2)=10^LEFT(A64,1))*(INDEX(SFactors,,3)=(LEN(A64)-LEN(SUBSTITUTE(A64,"_","")))),INDEX(SFactors,,4))*PreTenB+(C64-PreTenB)*_xlfn.XLOOKUP(1,(INDEX(SFactors,,2)=10^LEFT(A64,1))*(INDEX(SFactors,,3)=(LEN(A64)-LEN(SUBSTITUTE(A64,"_","")))),INDEX(SFactors,,5))</f>
        <v>#N/A</v>
      </c>
      <c r="AB64" s="25" t="e">
        <f t="shared" si="5"/>
        <v>#N/A</v>
      </c>
      <c r="AC64" s="2" t="e">
        <f t="array" ref="AC64">_xlfn.XLOOKUP(1,
    (INDEX(SFactors,,2)=10^LEFT(A64,1)) *
    (INDEX(SFactors,,3)=(LEN(A64)-LEN(SUBSTITUTE(A64,"_","")))),
    INDEX(SFactors,,4)
)</f>
        <v>#N/A</v>
      </c>
      <c r="AD64" s="3" t="e">
        <f t="array" ref="AD64">_xlfn.XLOOKUP(1,(INDEX(SFactors,,2)=10^LEFT(A64,1))*(INDEX(SFactors,,3)=(LEN(A64)-LEN(SUBSTITUTE(A64,"_","")))),INDEX(SFactors,,5))</f>
        <v>#N/A</v>
      </c>
      <c r="AE64" s="3" t="e">
        <f t="shared" si="3"/>
        <v>#N/A</v>
      </c>
    </row>
    <row r="65" spans="1:3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2"/>
      <c r="Q65" s="3">
        <f t="shared" si="0"/>
        <v>219</v>
      </c>
      <c r="R65" s="36">
        <f t="shared" si="4"/>
        <v>75</v>
      </c>
      <c r="S65"/>
      <c r="AA65" s="2" t="e">
        <f t="array" ref="AA65">_xlfn.XLOOKUP(1,(INDEX(SFactors,,2)=10^LEFT(A65,1))*(INDEX(SFactors,,3)=(LEN(A65)-LEN(SUBSTITUTE(A65,"_","")))),INDEX(SFactors,,4))*PreTenB+(C65-PreTenB)*_xlfn.XLOOKUP(1,(INDEX(SFactors,,2)=10^LEFT(A65,1))*(INDEX(SFactors,,3)=(LEN(A65)-LEN(SUBSTITUTE(A65,"_","")))),INDEX(SFactors,,5))</f>
        <v>#N/A</v>
      </c>
      <c r="AB65" s="25" t="e">
        <f t="shared" si="5"/>
        <v>#N/A</v>
      </c>
      <c r="AC65" s="2" t="e">
        <f t="array" ref="AC65">_xlfn.XLOOKUP(1,
    (INDEX(SFactors,,2)=10^LEFT(A65,1)) *
    (INDEX(SFactors,,3)=(LEN(A65)-LEN(SUBSTITUTE(A65,"_","")))),
    INDEX(SFactors,,4)
)</f>
        <v>#N/A</v>
      </c>
      <c r="AD65" s="3" t="e">
        <f t="array" ref="AD65">_xlfn.XLOOKUP(1,(INDEX(SFactors,,2)=10^LEFT(A65,1))*(INDEX(SFactors,,3)=(LEN(A65)-LEN(SUBSTITUTE(A65,"_","")))),INDEX(SFactors,,5))</f>
        <v>#N/A</v>
      </c>
      <c r="AE65" s="3" t="e">
        <f t="shared" si="3"/>
        <v>#N/A</v>
      </c>
    </row>
    <row r="66" spans="1:3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"/>
      <c r="Q66" s="3">
        <f t="shared" si="0"/>
        <v>231</v>
      </c>
      <c r="R66" s="36">
        <f t="shared" si="4"/>
        <v>75</v>
      </c>
      <c r="S66"/>
      <c r="AA66" s="2" t="e">
        <f t="array" ref="AA66">_xlfn.XLOOKUP(1,(INDEX(SFactors,,2)=10^LEFT(A66,1))*(INDEX(SFactors,,3)=(LEN(A66)-LEN(SUBSTITUTE(A66,"_","")))),INDEX(SFactors,,4))*PreTenB+(C66-PreTenB)*_xlfn.XLOOKUP(1,(INDEX(SFactors,,2)=10^LEFT(A66,1))*(INDEX(SFactors,,3)=(LEN(A66)-LEN(SUBSTITUTE(A66,"_","")))),INDEX(SFactors,,5))</f>
        <v>#N/A</v>
      </c>
      <c r="AB66" s="25" t="e">
        <f t="shared" si="5"/>
        <v>#N/A</v>
      </c>
      <c r="AC66" s="2" t="e">
        <f t="array" ref="AC66">_xlfn.XLOOKUP(1,
    (INDEX(SFactors,,2)=10^LEFT(A66,1)) *
    (INDEX(SFactors,,3)=(LEN(A66)-LEN(SUBSTITUTE(A66,"_","")))),
    INDEX(SFactors,,4)
)</f>
        <v>#N/A</v>
      </c>
      <c r="AD66" s="3" t="e">
        <f t="array" ref="AD66">_xlfn.XLOOKUP(1,(INDEX(SFactors,,2)=10^LEFT(A66,1))*(INDEX(SFactors,,3)=(LEN(A66)-LEN(SUBSTITUTE(A66,"_","")))),INDEX(SFactors,,5))</f>
        <v>#N/A</v>
      </c>
      <c r="AE66" s="3" t="e">
        <f t="shared" si="3"/>
        <v>#N/A</v>
      </c>
    </row>
    <row r="67" spans="1:3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"/>
      <c r="Q67" s="3">
        <f t="shared" si="0"/>
        <v>243</v>
      </c>
      <c r="R67" s="36">
        <f t="shared" si="4"/>
        <v>75</v>
      </c>
      <c r="S67"/>
      <c r="AA67" s="2" t="e">
        <f t="array" ref="AA67">_xlfn.XLOOKUP(1,(INDEX(SFactors,,2)=10^LEFT(A67,1))*(INDEX(SFactors,,3)=(LEN(A67)-LEN(SUBSTITUTE(A67,"_","")))),INDEX(SFactors,,4))*PreTenB+(C67-PreTenB)*_xlfn.XLOOKUP(1,(INDEX(SFactors,,2)=10^LEFT(A67,1))*(INDEX(SFactors,,3)=(LEN(A67)-LEN(SUBSTITUTE(A67,"_","")))),INDEX(SFactors,,5))</f>
        <v>#N/A</v>
      </c>
      <c r="AB67" s="25" t="e">
        <f t="shared" si="5"/>
        <v>#N/A</v>
      </c>
      <c r="AC67" s="2" t="e">
        <f t="array" ref="AC67">_xlfn.XLOOKUP(1,
    (INDEX(SFactors,,2)=10^LEFT(A67,1)) *
    (INDEX(SFactors,,3)=(LEN(A67)-LEN(SUBSTITUTE(A67,"_","")))),
    INDEX(SFactors,,4)
)</f>
        <v>#N/A</v>
      </c>
      <c r="AD67" s="3" t="e">
        <f t="array" ref="AD67">_xlfn.XLOOKUP(1,(INDEX(SFactors,,2)=10^LEFT(A67,1))*(INDEX(SFactors,,3)=(LEN(A67)-LEN(SUBSTITUTE(A67,"_","")))),INDEX(SFactors,,5))</f>
        <v>#N/A</v>
      </c>
      <c r="AE67" s="3" t="e">
        <f t="shared" si="3"/>
        <v>#N/A</v>
      </c>
    </row>
    <row r="68" spans="1:3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"/>
      <c r="Q68" s="3">
        <f t="shared" si="0"/>
        <v>4</v>
      </c>
      <c r="R68" s="36">
        <f t="shared" si="4"/>
        <v>4</v>
      </c>
      <c r="S68"/>
      <c r="AA68" s="2" t="e">
        <f t="array" ref="AA68">_xlfn.XLOOKUP(1,(INDEX(SFactors,,2)=10^LEFT(A68,1))*(INDEX(SFactors,,3)=(LEN(A68)-LEN(SUBSTITUTE(A68,"_","")))),INDEX(SFactors,,4))*PreTenB+(C68-PreTenB)*_xlfn.XLOOKUP(1,(INDEX(SFactors,,2)=10^LEFT(A68,1))*(INDEX(SFactors,,3)=(LEN(A68)-LEN(SUBSTITUTE(A68,"_","")))),INDEX(SFactors,,5))</f>
        <v>#N/A</v>
      </c>
      <c r="AB68" s="25" t="e">
        <f t="shared" si="5"/>
        <v>#N/A</v>
      </c>
      <c r="AC68" s="2" t="e">
        <f t="array" ref="AC68">_xlfn.XLOOKUP(1,
    (INDEX(SFactors,,2)=10^LEFT(A68,1)) *
    (INDEX(SFactors,,3)=(LEN(A68)-LEN(SUBSTITUTE(A68,"_","")))),
    INDEX(SFactors,,4)
)</f>
        <v>#N/A</v>
      </c>
      <c r="AD68" s="3" t="e">
        <f t="array" ref="AD68">_xlfn.XLOOKUP(1,(INDEX(SFactors,,2)=10^LEFT(A68,1))*(INDEX(SFactors,,3)=(LEN(A68)-LEN(SUBSTITUTE(A68,"_","")))),INDEX(SFactors,,5))</f>
        <v>#N/A</v>
      </c>
      <c r="AE68" s="3" t="e">
        <f t="shared" si="3"/>
        <v>#N/A</v>
      </c>
    </row>
    <row r="69" spans="1:3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2"/>
      <c r="Q69" s="3">
        <f t="shared" ref="Q69:Q132" si="6">MOD(ROW()-5,nSD)*12+INT((ROW()-5)/nSD)+1</f>
        <v>16</v>
      </c>
      <c r="R69" s="36">
        <f t="shared" si="4"/>
        <v>4</v>
      </c>
      <c r="S69"/>
      <c r="AA69" s="2" t="e">
        <f t="array" ref="AA69">_xlfn.XLOOKUP(1,(INDEX(SFactors,,2)=10^LEFT(A69,1))*(INDEX(SFactors,,3)=(LEN(A69)-LEN(SUBSTITUTE(A69,"_","")))),INDEX(SFactors,,4))*PreTenB+(C69-PreTenB)*_xlfn.XLOOKUP(1,(INDEX(SFactors,,2)=10^LEFT(A69,1))*(INDEX(SFactors,,3)=(LEN(A69)-LEN(SUBSTITUTE(A69,"_","")))),INDEX(SFactors,,5))</f>
        <v>#N/A</v>
      </c>
      <c r="AB69" s="25" t="e">
        <f t="shared" si="5"/>
        <v>#N/A</v>
      </c>
      <c r="AC69" s="2" t="e">
        <f t="array" ref="AC69">_xlfn.XLOOKUP(1,
    (INDEX(SFactors,,2)=10^LEFT(A69,1)) *
    (INDEX(SFactors,,3)=(LEN(A69)-LEN(SUBSTITUTE(A69,"_","")))),
    INDEX(SFactors,,4)
)</f>
        <v>#N/A</v>
      </c>
      <c r="AD69" s="3" t="e">
        <f t="array" ref="AD69">_xlfn.XLOOKUP(1,(INDEX(SFactors,,2)=10^LEFT(A69,1))*(INDEX(SFactors,,3)=(LEN(A69)-LEN(SUBSTITUTE(A69,"_","")))),INDEX(SFactors,,5))</f>
        <v>#N/A</v>
      </c>
      <c r="AE69" s="3" t="e">
        <f t="shared" ref="AE69:AE132" si="7">PreTenB*AC69+(C69-PreTenB)*AD69</f>
        <v>#N/A</v>
      </c>
    </row>
    <row r="70" spans="1:3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2"/>
      <c r="Q70" s="3">
        <f t="shared" si="6"/>
        <v>28</v>
      </c>
      <c r="R70" s="36">
        <f t="shared" ref="R70:R133" si="8">MOD(INT((ROW()-5)/3),7)*12+INT((ROW()-5)/(nSD))+1</f>
        <v>4</v>
      </c>
      <c r="S70"/>
      <c r="AA70" s="2" t="e">
        <f t="array" ref="AA70">_xlfn.XLOOKUP(1,(INDEX(SFactors,,2)=10^LEFT(A70,1))*(INDEX(SFactors,,3)=(LEN(A70)-LEN(SUBSTITUTE(A70,"_","")))),INDEX(SFactors,,4))*PreTenB+(C70-PreTenB)*_xlfn.XLOOKUP(1,(INDEX(SFactors,,2)=10^LEFT(A70,1))*(INDEX(SFactors,,3)=(LEN(A70)-LEN(SUBSTITUTE(A70,"_","")))),INDEX(SFactors,,5))</f>
        <v>#N/A</v>
      </c>
      <c r="AB70" s="25" t="e">
        <f t="shared" si="5"/>
        <v>#N/A</v>
      </c>
      <c r="AC70" s="2" t="e">
        <f t="array" ref="AC70">_xlfn.XLOOKUP(1,
    (INDEX(SFactors,,2)=10^LEFT(A70,1)) *
    (INDEX(SFactors,,3)=(LEN(A70)-LEN(SUBSTITUTE(A70,"_","")))),
    INDEX(SFactors,,4)
)</f>
        <v>#N/A</v>
      </c>
      <c r="AD70" s="3" t="e">
        <f t="array" ref="AD70">_xlfn.XLOOKUP(1,(INDEX(SFactors,,2)=10^LEFT(A70,1))*(INDEX(SFactors,,3)=(LEN(A70)-LEN(SUBSTITUTE(A70,"_","")))),INDEX(SFactors,,5))</f>
        <v>#N/A</v>
      </c>
      <c r="AE70" s="3" t="e">
        <f t="shared" si="7"/>
        <v>#N/A</v>
      </c>
    </row>
    <row r="71" spans="1:3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2"/>
      <c r="Q71" s="3">
        <f t="shared" si="6"/>
        <v>40</v>
      </c>
      <c r="R71" s="36">
        <f t="shared" si="8"/>
        <v>16</v>
      </c>
      <c r="S71"/>
      <c r="AA71" s="2" t="e">
        <f t="array" ref="AA71">_xlfn.XLOOKUP(1,(INDEX(SFactors,,2)=10^LEFT(A71,1))*(INDEX(SFactors,,3)=(LEN(A71)-LEN(SUBSTITUTE(A71,"_","")))),INDEX(SFactors,,4))*PreTenB+(C71-PreTenB)*_xlfn.XLOOKUP(1,(INDEX(SFactors,,2)=10^LEFT(A71,1))*(INDEX(SFactors,,3)=(LEN(A71)-LEN(SUBSTITUTE(A71,"_","")))),INDEX(SFactors,,5))</f>
        <v>#N/A</v>
      </c>
      <c r="AB71" s="25" t="e">
        <f t="shared" si="5"/>
        <v>#N/A</v>
      </c>
      <c r="AC71" s="2" t="e">
        <f t="array" ref="AC71">_xlfn.XLOOKUP(1,
    (INDEX(SFactors,,2)=10^LEFT(A71,1)) *
    (INDEX(SFactors,,3)=(LEN(A71)-LEN(SUBSTITUTE(A71,"_","")))),
    INDEX(SFactors,,4)
)</f>
        <v>#N/A</v>
      </c>
      <c r="AD71" s="3" t="e">
        <f t="array" ref="AD71">_xlfn.XLOOKUP(1,(INDEX(SFactors,,2)=10^LEFT(A71,1))*(INDEX(SFactors,,3)=(LEN(A71)-LEN(SUBSTITUTE(A71,"_","")))),INDEX(SFactors,,5))</f>
        <v>#N/A</v>
      </c>
      <c r="AE71" s="3" t="e">
        <f t="shared" si="7"/>
        <v>#N/A</v>
      </c>
    </row>
    <row r="72" spans="1:3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2"/>
      <c r="Q72" s="3">
        <f t="shared" si="6"/>
        <v>52</v>
      </c>
      <c r="R72" s="36">
        <f t="shared" si="8"/>
        <v>16</v>
      </c>
      <c r="S72"/>
      <c r="AA72" s="2" t="e">
        <f t="array" ref="AA72">_xlfn.XLOOKUP(1,(INDEX(SFactors,,2)=10^LEFT(A72,1))*(INDEX(SFactors,,3)=(LEN(A72)-LEN(SUBSTITUTE(A72,"_","")))),INDEX(SFactors,,4))*PreTenB+(C72-PreTenB)*_xlfn.XLOOKUP(1,(INDEX(SFactors,,2)=10^LEFT(A72,1))*(INDEX(SFactors,,3)=(LEN(A72)-LEN(SUBSTITUTE(A72,"_","")))),INDEX(SFactors,,5))</f>
        <v>#N/A</v>
      </c>
      <c r="AB72" s="25" t="e">
        <f t="shared" si="5"/>
        <v>#N/A</v>
      </c>
      <c r="AC72" s="2" t="e">
        <f t="array" ref="AC72">_xlfn.XLOOKUP(1,
    (INDEX(SFactors,,2)=10^LEFT(A72,1)) *
    (INDEX(SFactors,,3)=(LEN(A72)-LEN(SUBSTITUTE(A72,"_","")))),
    INDEX(SFactors,,4)
)</f>
        <v>#N/A</v>
      </c>
      <c r="AD72" s="3" t="e">
        <f t="array" ref="AD72">_xlfn.XLOOKUP(1,(INDEX(SFactors,,2)=10^LEFT(A72,1))*(INDEX(SFactors,,3)=(LEN(A72)-LEN(SUBSTITUTE(A72,"_","")))),INDEX(SFactors,,5))</f>
        <v>#N/A</v>
      </c>
      <c r="AE72" s="3" t="e">
        <f t="shared" si="7"/>
        <v>#N/A</v>
      </c>
    </row>
    <row r="73" spans="1:3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2"/>
      <c r="Q73" s="3">
        <f t="shared" si="6"/>
        <v>64</v>
      </c>
      <c r="R73" s="36">
        <f t="shared" si="8"/>
        <v>16</v>
      </c>
      <c r="S73"/>
      <c r="AA73" s="2" t="e">
        <f t="array" ref="AA73">_xlfn.XLOOKUP(1,(INDEX(SFactors,,2)=10^LEFT(A73,1))*(INDEX(SFactors,,3)=(LEN(A73)-LEN(SUBSTITUTE(A73,"_","")))),INDEX(SFactors,,4))*PreTenB+(C73-PreTenB)*_xlfn.XLOOKUP(1,(INDEX(SFactors,,2)=10^LEFT(A73,1))*(INDEX(SFactors,,3)=(LEN(A73)-LEN(SUBSTITUTE(A73,"_","")))),INDEX(SFactors,,5))</f>
        <v>#N/A</v>
      </c>
      <c r="AB73" s="25" t="e">
        <f t="shared" si="5"/>
        <v>#N/A</v>
      </c>
      <c r="AC73" s="2" t="e">
        <f t="array" ref="AC73">_xlfn.XLOOKUP(1,
    (INDEX(SFactors,,2)=10^LEFT(A73,1)) *
    (INDEX(SFactors,,3)=(LEN(A73)-LEN(SUBSTITUTE(A73,"_","")))),
    INDEX(SFactors,,4)
)</f>
        <v>#N/A</v>
      </c>
      <c r="AD73" s="3" t="e">
        <f t="array" ref="AD73">_xlfn.XLOOKUP(1,(INDEX(SFactors,,2)=10^LEFT(A73,1))*(INDEX(SFactors,,3)=(LEN(A73)-LEN(SUBSTITUTE(A73,"_","")))),INDEX(SFactors,,5))</f>
        <v>#N/A</v>
      </c>
      <c r="AE73" s="3" t="e">
        <f t="shared" si="7"/>
        <v>#N/A</v>
      </c>
    </row>
    <row r="74" spans="1:3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2"/>
      <c r="Q74" s="3">
        <f t="shared" si="6"/>
        <v>76</v>
      </c>
      <c r="R74" s="36">
        <f t="shared" si="8"/>
        <v>28</v>
      </c>
      <c r="S74"/>
      <c r="AA74" s="2" t="e">
        <f t="array" ref="AA74">_xlfn.XLOOKUP(1,(INDEX(SFactors,,2)=10^LEFT(A74,1))*(INDEX(SFactors,,3)=(LEN(A74)-LEN(SUBSTITUTE(A74,"_","")))),INDEX(SFactors,,4))*PreTenB+(C74-PreTenB)*_xlfn.XLOOKUP(1,(INDEX(SFactors,,2)=10^LEFT(A74,1))*(INDEX(SFactors,,3)=(LEN(A74)-LEN(SUBSTITUTE(A74,"_","")))),INDEX(SFactors,,5))</f>
        <v>#N/A</v>
      </c>
      <c r="AB74" s="25" t="e">
        <f t="shared" si="5"/>
        <v>#N/A</v>
      </c>
      <c r="AC74" s="2" t="e">
        <f t="array" ref="AC74">_xlfn.XLOOKUP(1,
    (INDEX(SFactors,,2)=10^LEFT(A74,1)) *
    (INDEX(SFactors,,3)=(LEN(A74)-LEN(SUBSTITUTE(A74,"_","")))),
    INDEX(SFactors,,4)
)</f>
        <v>#N/A</v>
      </c>
      <c r="AD74" s="3" t="e">
        <f t="array" ref="AD74">_xlfn.XLOOKUP(1,(INDEX(SFactors,,2)=10^LEFT(A74,1))*(INDEX(SFactors,,3)=(LEN(A74)-LEN(SUBSTITUTE(A74,"_","")))),INDEX(SFactors,,5))</f>
        <v>#N/A</v>
      </c>
      <c r="AE74" s="3" t="e">
        <f t="shared" si="7"/>
        <v>#N/A</v>
      </c>
    </row>
    <row r="75" spans="1:3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2"/>
      <c r="Q75" s="3">
        <f t="shared" si="6"/>
        <v>88</v>
      </c>
      <c r="R75" s="36">
        <f t="shared" si="8"/>
        <v>28</v>
      </c>
      <c r="S75"/>
      <c r="AA75" s="2" t="e">
        <f t="array" ref="AA75">_xlfn.XLOOKUP(1,(INDEX(SFactors,,2)=10^LEFT(A75,1))*(INDEX(SFactors,,3)=(LEN(A75)-LEN(SUBSTITUTE(A75,"_","")))),INDEX(SFactors,,4))*PreTenB+(C75-PreTenB)*_xlfn.XLOOKUP(1,(INDEX(SFactors,,2)=10^LEFT(A75,1))*(INDEX(SFactors,,3)=(LEN(A75)-LEN(SUBSTITUTE(A75,"_","")))),INDEX(SFactors,,5))</f>
        <v>#N/A</v>
      </c>
      <c r="AB75" s="25" t="e">
        <f t="shared" si="5"/>
        <v>#N/A</v>
      </c>
      <c r="AC75" s="2" t="e">
        <f t="array" ref="AC75">_xlfn.XLOOKUP(1,
    (INDEX(SFactors,,2)=10^LEFT(A75,1)) *
    (INDEX(SFactors,,3)=(LEN(A75)-LEN(SUBSTITUTE(A75,"_","")))),
    INDEX(SFactors,,4)
)</f>
        <v>#N/A</v>
      </c>
      <c r="AD75" s="3" t="e">
        <f t="array" ref="AD75">_xlfn.XLOOKUP(1,(INDEX(SFactors,,2)=10^LEFT(A75,1))*(INDEX(SFactors,,3)=(LEN(A75)-LEN(SUBSTITUTE(A75,"_","")))),INDEX(SFactors,,5))</f>
        <v>#N/A</v>
      </c>
      <c r="AE75" s="3" t="e">
        <f t="shared" si="7"/>
        <v>#N/A</v>
      </c>
    </row>
    <row r="76" spans="1:3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2"/>
      <c r="Q76" s="3">
        <f t="shared" si="6"/>
        <v>100</v>
      </c>
      <c r="R76" s="36">
        <f t="shared" si="8"/>
        <v>28</v>
      </c>
      <c r="S76"/>
      <c r="AA76" s="2" t="e">
        <f t="array" ref="AA76">_xlfn.XLOOKUP(1,(INDEX(SFactors,,2)=10^LEFT(A76,1))*(INDEX(SFactors,,3)=(LEN(A76)-LEN(SUBSTITUTE(A76,"_","")))),INDEX(SFactors,,4))*PreTenB+(C76-PreTenB)*_xlfn.XLOOKUP(1,(INDEX(SFactors,,2)=10^LEFT(A76,1))*(INDEX(SFactors,,3)=(LEN(A76)-LEN(SUBSTITUTE(A76,"_","")))),INDEX(SFactors,,5))</f>
        <v>#N/A</v>
      </c>
      <c r="AB76" s="25" t="e">
        <f t="shared" si="5"/>
        <v>#N/A</v>
      </c>
      <c r="AC76" s="2" t="e">
        <f t="array" ref="AC76">_xlfn.XLOOKUP(1,
    (INDEX(SFactors,,2)=10^LEFT(A76,1)) *
    (INDEX(SFactors,,3)=(LEN(A76)-LEN(SUBSTITUTE(A76,"_","")))),
    INDEX(SFactors,,4)
)</f>
        <v>#N/A</v>
      </c>
      <c r="AD76" s="3" t="e">
        <f t="array" ref="AD76">_xlfn.XLOOKUP(1,(INDEX(SFactors,,2)=10^LEFT(A76,1))*(INDEX(SFactors,,3)=(LEN(A76)-LEN(SUBSTITUTE(A76,"_","")))),INDEX(SFactors,,5))</f>
        <v>#N/A</v>
      </c>
      <c r="AE76" s="3" t="e">
        <f t="shared" si="7"/>
        <v>#N/A</v>
      </c>
    </row>
    <row r="77" spans="1:3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2"/>
      <c r="Q77" s="3">
        <f t="shared" si="6"/>
        <v>112</v>
      </c>
      <c r="R77" s="36">
        <f t="shared" si="8"/>
        <v>40</v>
      </c>
      <c r="S77"/>
      <c r="AA77" s="2" t="e">
        <f t="array" ref="AA77">_xlfn.XLOOKUP(1,(INDEX(SFactors,,2)=10^LEFT(A77,1))*(INDEX(SFactors,,3)=(LEN(A77)-LEN(SUBSTITUTE(A77,"_","")))),INDEX(SFactors,,4))*PreTenB+(C77-PreTenB)*_xlfn.XLOOKUP(1,(INDEX(SFactors,,2)=10^LEFT(A77,1))*(INDEX(SFactors,,3)=(LEN(A77)-LEN(SUBSTITUTE(A77,"_","")))),INDEX(SFactors,,5))</f>
        <v>#N/A</v>
      </c>
      <c r="AB77" s="25" t="e">
        <f t="shared" ref="AB77" si="9">AA77/MBL</f>
        <v>#N/A</v>
      </c>
      <c r="AC77" s="2" t="e">
        <f t="array" ref="AC77">_xlfn.XLOOKUP(1,
    (INDEX(SFactors,,2)=10^LEFT(A77,1)) *
    (INDEX(SFactors,,3)=(LEN(A77)-LEN(SUBSTITUTE(A77,"_","")))),
    INDEX(SFactors,,4)
)</f>
        <v>#N/A</v>
      </c>
      <c r="AD77" s="3" t="e">
        <f t="array" ref="AD77">_xlfn.XLOOKUP(1,(INDEX(SFactors,,2)=10^LEFT(A77,1))*(INDEX(SFactors,,3)=(LEN(A77)-LEN(SUBSTITUTE(A77,"_","")))),INDEX(SFactors,,5))</f>
        <v>#N/A</v>
      </c>
      <c r="AE77" s="3" t="e">
        <f t="shared" si="7"/>
        <v>#N/A</v>
      </c>
    </row>
    <row r="78" spans="1:3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"/>
      <c r="Q78" s="3">
        <f t="shared" si="6"/>
        <v>124</v>
      </c>
      <c r="R78" s="36">
        <f t="shared" si="8"/>
        <v>40</v>
      </c>
      <c r="S78"/>
      <c r="AA78" s="2" t="e">
        <f t="array" ref="AA78">_xlfn.XLOOKUP(1,(INDEX(SFactors,,2)=10^LEFT(A78,1))*(INDEX(SFactors,,3)=(LEN(A78)-LEN(SUBSTITUTE(A78,"_","")))),INDEX(SFactors,,4))*PreTenB+(C78-PreTenB)*_xlfn.XLOOKUP(1,(INDEX(SFactors,,2)=10^LEFT(A78,1))*(INDEX(SFactors,,3)=(LEN(A78)-LEN(SUBSTITUTE(A78,"_","")))),INDEX(SFactors,,5))</f>
        <v>#N/A</v>
      </c>
      <c r="AB78" s="25" t="e">
        <f t="shared" si="5"/>
        <v>#N/A</v>
      </c>
      <c r="AC78" s="2" t="e">
        <f t="array" ref="AC78">_xlfn.XLOOKUP(1,
    (INDEX(SFactors,,2)=10^LEFT(A78,1)) *
    (INDEX(SFactors,,3)=(LEN(A78)-LEN(SUBSTITUTE(A78,"_","")))),
    INDEX(SFactors,,4)
)</f>
        <v>#N/A</v>
      </c>
      <c r="AD78" s="3" t="e">
        <f t="array" ref="AD78">_xlfn.XLOOKUP(1,(INDEX(SFactors,,2)=10^LEFT(A78,1))*(INDEX(SFactors,,3)=(LEN(A78)-LEN(SUBSTITUTE(A78,"_","")))),INDEX(SFactors,,5))</f>
        <v>#N/A</v>
      </c>
      <c r="AE78" s="3" t="e">
        <f t="shared" si="7"/>
        <v>#N/A</v>
      </c>
    </row>
    <row r="79" spans="1:3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2"/>
      <c r="Q79" s="3">
        <f t="shared" si="6"/>
        <v>136</v>
      </c>
      <c r="R79" s="36">
        <f t="shared" si="8"/>
        <v>40</v>
      </c>
      <c r="S79"/>
      <c r="AA79" s="2" t="e">
        <f t="array" ref="AA79">_xlfn.XLOOKUP(1,(INDEX(SFactors,,2)=10^LEFT(A79,1))*(INDEX(SFactors,,3)=(LEN(A79)-LEN(SUBSTITUTE(A79,"_","")))),INDEX(SFactors,,4))*PreTenB+(C79-PreTenB)*_xlfn.XLOOKUP(1,(INDEX(SFactors,,2)=10^LEFT(A79,1))*(INDEX(SFactors,,3)=(LEN(A79)-LEN(SUBSTITUTE(A79,"_","")))),INDEX(SFactors,,5))</f>
        <v>#N/A</v>
      </c>
      <c r="AB79" s="25" t="e">
        <f t="shared" si="5"/>
        <v>#N/A</v>
      </c>
      <c r="AC79" s="2" t="e">
        <f t="array" ref="AC79">_xlfn.XLOOKUP(1,
    (INDEX(SFactors,,2)=10^LEFT(A79,1)) *
    (INDEX(SFactors,,3)=(LEN(A79)-LEN(SUBSTITUTE(A79,"_","")))),
    INDEX(SFactors,,4)
)</f>
        <v>#N/A</v>
      </c>
      <c r="AD79" s="3" t="e">
        <f t="array" ref="AD79">_xlfn.XLOOKUP(1,(INDEX(SFactors,,2)=10^LEFT(A79,1))*(INDEX(SFactors,,3)=(LEN(A79)-LEN(SUBSTITUTE(A79,"_","")))),INDEX(SFactors,,5))</f>
        <v>#N/A</v>
      </c>
      <c r="AE79" s="3" t="e">
        <f t="shared" si="7"/>
        <v>#N/A</v>
      </c>
    </row>
    <row r="80" spans="1:3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2"/>
      <c r="Q80" s="3">
        <f t="shared" si="6"/>
        <v>148</v>
      </c>
      <c r="R80" s="36">
        <f t="shared" si="8"/>
        <v>52</v>
      </c>
      <c r="S80"/>
      <c r="AA80" s="2" t="e">
        <f t="array" ref="AA80">_xlfn.XLOOKUP(1,(INDEX(SFactors,,2)=10^LEFT(A80,1))*(INDEX(SFactors,,3)=(LEN(A80)-LEN(SUBSTITUTE(A80,"_","")))),INDEX(SFactors,,4))*PreTenB+(C80-PreTenB)*_xlfn.XLOOKUP(1,(INDEX(SFactors,,2)=10^LEFT(A80,1))*(INDEX(SFactors,,3)=(LEN(A80)-LEN(SUBSTITUTE(A80,"_","")))),INDEX(SFactors,,5))</f>
        <v>#N/A</v>
      </c>
      <c r="AB80" s="25" t="e">
        <f t="shared" si="5"/>
        <v>#N/A</v>
      </c>
      <c r="AC80" s="2" t="e">
        <f t="array" ref="AC80">_xlfn.XLOOKUP(1,
    (INDEX(SFactors,,2)=10^LEFT(A80,1)) *
    (INDEX(SFactors,,3)=(LEN(A80)-LEN(SUBSTITUTE(A80,"_","")))),
    INDEX(SFactors,,4)
)</f>
        <v>#N/A</v>
      </c>
      <c r="AD80" s="3" t="e">
        <f t="array" ref="AD80">_xlfn.XLOOKUP(1,(INDEX(SFactors,,2)=10^LEFT(A80,1))*(INDEX(SFactors,,3)=(LEN(A80)-LEN(SUBSTITUTE(A80,"_","")))),INDEX(SFactors,,5))</f>
        <v>#N/A</v>
      </c>
      <c r="AE80" s="3" t="e">
        <f t="shared" si="7"/>
        <v>#N/A</v>
      </c>
    </row>
    <row r="81" spans="1:3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2"/>
      <c r="Q81" s="3">
        <f t="shared" si="6"/>
        <v>160</v>
      </c>
      <c r="R81" s="36">
        <f t="shared" si="8"/>
        <v>52</v>
      </c>
      <c r="S81"/>
      <c r="AA81" s="2" t="e">
        <f t="array" ref="AA81">_xlfn.XLOOKUP(1,(INDEX(SFactors,,2)=10^LEFT(A81,1))*(INDEX(SFactors,,3)=(LEN(A81)-LEN(SUBSTITUTE(A81,"_","")))),INDEX(SFactors,,4))*PreTenB+(C81-PreTenB)*_xlfn.XLOOKUP(1,(INDEX(SFactors,,2)=10^LEFT(A81,1))*(INDEX(SFactors,,3)=(LEN(A81)-LEN(SUBSTITUTE(A81,"_","")))),INDEX(SFactors,,5))</f>
        <v>#N/A</v>
      </c>
      <c r="AB81" s="25" t="e">
        <f t="shared" si="5"/>
        <v>#N/A</v>
      </c>
      <c r="AC81" s="2" t="e">
        <f t="array" ref="AC81">_xlfn.XLOOKUP(1,
    (INDEX(SFactors,,2)=10^LEFT(A81,1)) *
    (INDEX(SFactors,,3)=(LEN(A81)-LEN(SUBSTITUTE(A81,"_","")))),
    INDEX(SFactors,,4)
)</f>
        <v>#N/A</v>
      </c>
      <c r="AD81" s="3" t="e">
        <f t="array" ref="AD81">_xlfn.XLOOKUP(1,(INDEX(SFactors,,2)=10^LEFT(A81,1))*(INDEX(SFactors,,3)=(LEN(A81)-LEN(SUBSTITUTE(A81,"_","")))),INDEX(SFactors,,5))</f>
        <v>#N/A</v>
      </c>
      <c r="AE81" s="3" t="e">
        <f t="shared" si="7"/>
        <v>#N/A</v>
      </c>
    </row>
    <row r="82" spans="1:3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2"/>
      <c r="Q82" s="3">
        <f t="shared" si="6"/>
        <v>172</v>
      </c>
      <c r="R82" s="36">
        <f t="shared" si="8"/>
        <v>52</v>
      </c>
      <c r="S82"/>
      <c r="AA82" s="2" t="e">
        <f t="array" ref="AA82">_xlfn.XLOOKUP(1,(INDEX(SFactors,,2)=10^LEFT(A82,1))*(INDEX(SFactors,,3)=(LEN(A82)-LEN(SUBSTITUTE(A82,"_","")))),INDEX(SFactors,,4))*PreTenB+(C82-PreTenB)*_xlfn.XLOOKUP(1,(INDEX(SFactors,,2)=10^LEFT(A82,1))*(INDEX(SFactors,,3)=(LEN(A82)-LEN(SUBSTITUTE(A82,"_","")))),INDEX(SFactors,,5))</f>
        <v>#N/A</v>
      </c>
      <c r="AB82" s="25" t="e">
        <f t="shared" si="5"/>
        <v>#N/A</v>
      </c>
      <c r="AC82" s="2" t="e">
        <f t="array" ref="AC82">_xlfn.XLOOKUP(1,
    (INDEX(SFactors,,2)=10^LEFT(A82,1)) *
    (INDEX(SFactors,,3)=(LEN(A82)-LEN(SUBSTITUTE(A82,"_","")))),
    INDEX(SFactors,,4)
)</f>
        <v>#N/A</v>
      </c>
      <c r="AD82" s="3" t="e">
        <f t="array" ref="AD82">_xlfn.XLOOKUP(1,(INDEX(SFactors,,2)=10^LEFT(A82,1))*(INDEX(SFactors,,3)=(LEN(A82)-LEN(SUBSTITUTE(A82,"_","")))),INDEX(SFactors,,5))</f>
        <v>#N/A</v>
      </c>
      <c r="AE82" s="3" t="e">
        <f t="shared" si="7"/>
        <v>#N/A</v>
      </c>
    </row>
    <row r="83" spans="1:3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2"/>
      <c r="Q83" s="3">
        <f t="shared" si="6"/>
        <v>184</v>
      </c>
      <c r="R83" s="36">
        <f t="shared" si="8"/>
        <v>64</v>
      </c>
      <c r="S83"/>
      <c r="AA83" s="2" t="e">
        <f t="array" ref="AA83">_xlfn.XLOOKUP(1,(INDEX(SFactors,,2)=10^LEFT(A83,1))*(INDEX(SFactors,,3)=(LEN(A83)-LEN(SUBSTITUTE(A83,"_","")))),INDEX(SFactors,,4))*PreTenB+(C83-PreTenB)*_xlfn.XLOOKUP(1,(INDEX(SFactors,,2)=10^LEFT(A83,1))*(INDEX(SFactors,,3)=(LEN(A83)-LEN(SUBSTITUTE(A83,"_","")))),INDEX(SFactors,,5))</f>
        <v>#N/A</v>
      </c>
      <c r="AB83" s="25" t="e">
        <f t="shared" si="5"/>
        <v>#N/A</v>
      </c>
      <c r="AC83" s="2" t="e">
        <f t="array" ref="AC83">_xlfn.XLOOKUP(1,
    (INDEX(SFactors,,2)=10^LEFT(A83,1)) *
    (INDEX(SFactors,,3)=(LEN(A83)-LEN(SUBSTITUTE(A83,"_","")))),
    INDEX(SFactors,,4)
)</f>
        <v>#N/A</v>
      </c>
      <c r="AD83" s="3" t="e">
        <f t="array" ref="AD83">_xlfn.XLOOKUP(1,(INDEX(SFactors,,2)=10^LEFT(A83,1))*(INDEX(SFactors,,3)=(LEN(A83)-LEN(SUBSTITUTE(A83,"_","")))),INDEX(SFactors,,5))</f>
        <v>#N/A</v>
      </c>
      <c r="AE83" s="3" t="e">
        <f t="shared" si="7"/>
        <v>#N/A</v>
      </c>
    </row>
    <row r="84" spans="1:3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2"/>
      <c r="Q84" s="3">
        <f t="shared" si="6"/>
        <v>196</v>
      </c>
      <c r="R84" s="36">
        <f t="shared" si="8"/>
        <v>64</v>
      </c>
      <c r="S84"/>
      <c r="AA84" s="2" t="e">
        <f t="array" ref="AA84">_xlfn.XLOOKUP(1,(INDEX(SFactors,,2)=10^LEFT(A84,1))*(INDEX(SFactors,,3)=(LEN(A84)-LEN(SUBSTITUTE(A84,"_","")))),INDEX(SFactors,,4))*PreTenB+(C84-PreTenB)*_xlfn.XLOOKUP(1,(INDEX(SFactors,,2)=10^LEFT(A84,1))*(INDEX(SFactors,,3)=(LEN(A84)-LEN(SUBSTITUTE(A84,"_","")))),INDEX(SFactors,,5))</f>
        <v>#N/A</v>
      </c>
      <c r="AB84" s="25" t="e">
        <f t="shared" si="5"/>
        <v>#N/A</v>
      </c>
      <c r="AC84" s="2" t="e">
        <f t="array" ref="AC84">_xlfn.XLOOKUP(1,
    (INDEX(SFactors,,2)=10^LEFT(A84,1)) *
    (INDEX(SFactors,,3)=(LEN(A84)-LEN(SUBSTITUTE(A84,"_","")))),
    INDEX(SFactors,,4)
)</f>
        <v>#N/A</v>
      </c>
      <c r="AD84" s="3" t="e">
        <f t="array" ref="AD84">_xlfn.XLOOKUP(1,(INDEX(SFactors,,2)=10^LEFT(A84,1))*(INDEX(SFactors,,3)=(LEN(A84)-LEN(SUBSTITUTE(A84,"_","")))),INDEX(SFactors,,5))</f>
        <v>#N/A</v>
      </c>
      <c r="AE84" s="3" t="e">
        <f t="shared" si="7"/>
        <v>#N/A</v>
      </c>
    </row>
    <row r="85" spans="1:3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2"/>
      <c r="Q85" s="3">
        <f t="shared" si="6"/>
        <v>208</v>
      </c>
      <c r="R85" s="36">
        <f t="shared" si="8"/>
        <v>64</v>
      </c>
      <c r="S85"/>
      <c r="AA85" s="2" t="e">
        <f t="array" ref="AA85">_xlfn.XLOOKUP(1,(INDEX(SFactors,,2)=10^LEFT(A85,1))*(INDEX(SFactors,,3)=(LEN(A85)-LEN(SUBSTITUTE(A85,"_","")))),INDEX(SFactors,,4))*PreTenB+(C85-PreTenB)*_xlfn.XLOOKUP(1,(INDEX(SFactors,,2)=10^LEFT(A85,1))*(INDEX(SFactors,,3)=(LEN(A85)-LEN(SUBSTITUTE(A85,"_","")))),INDEX(SFactors,,5))</f>
        <v>#N/A</v>
      </c>
      <c r="AB85" s="25" t="e">
        <f t="shared" si="5"/>
        <v>#N/A</v>
      </c>
      <c r="AC85" s="2" t="e">
        <f t="array" ref="AC85">_xlfn.XLOOKUP(1,
    (INDEX(SFactors,,2)=10^LEFT(A85,1)) *
    (INDEX(SFactors,,3)=(LEN(A85)-LEN(SUBSTITUTE(A85,"_","")))),
    INDEX(SFactors,,4)
)</f>
        <v>#N/A</v>
      </c>
      <c r="AD85" s="3" t="e">
        <f t="array" ref="AD85">_xlfn.XLOOKUP(1,(INDEX(SFactors,,2)=10^LEFT(A85,1))*(INDEX(SFactors,,3)=(LEN(A85)-LEN(SUBSTITUTE(A85,"_","")))),INDEX(SFactors,,5))</f>
        <v>#N/A</v>
      </c>
      <c r="AE85" s="3" t="e">
        <f t="shared" si="7"/>
        <v>#N/A</v>
      </c>
    </row>
    <row r="86" spans="1:3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2"/>
      <c r="Q86" s="3">
        <f t="shared" si="6"/>
        <v>220</v>
      </c>
      <c r="R86" s="36">
        <f t="shared" si="8"/>
        <v>76</v>
      </c>
      <c r="S86"/>
      <c r="AA86" s="2" t="e">
        <f t="array" ref="AA86">_xlfn.XLOOKUP(1,(INDEX(SFactors,,2)=10^LEFT(A86,1))*(INDEX(SFactors,,3)=(LEN(A86)-LEN(SUBSTITUTE(A86,"_","")))),INDEX(SFactors,,4))*PreTenB+(C86-PreTenB)*_xlfn.XLOOKUP(1,(INDEX(SFactors,,2)=10^LEFT(A86,1))*(INDEX(SFactors,,3)=(LEN(A86)-LEN(SUBSTITUTE(A86,"_","")))),INDEX(SFactors,,5))</f>
        <v>#N/A</v>
      </c>
      <c r="AB86" s="25" t="e">
        <f t="shared" si="5"/>
        <v>#N/A</v>
      </c>
      <c r="AC86" s="2" t="e">
        <f t="array" ref="AC86">_xlfn.XLOOKUP(1,
    (INDEX(SFactors,,2)=10^LEFT(A86,1)) *
    (INDEX(SFactors,,3)=(LEN(A86)-LEN(SUBSTITUTE(A86,"_","")))),
    INDEX(SFactors,,4)
)</f>
        <v>#N/A</v>
      </c>
      <c r="AD86" s="3" t="e">
        <f t="array" ref="AD86">_xlfn.XLOOKUP(1,(INDEX(SFactors,,2)=10^LEFT(A86,1))*(INDEX(SFactors,,3)=(LEN(A86)-LEN(SUBSTITUTE(A86,"_","")))),INDEX(SFactors,,5))</f>
        <v>#N/A</v>
      </c>
      <c r="AE86" s="3" t="e">
        <f t="shared" si="7"/>
        <v>#N/A</v>
      </c>
    </row>
    <row r="87" spans="1:3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2"/>
      <c r="Q87" s="3">
        <f t="shared" si="6"/>
        <v>232</v>
      </c>
      <c r="R87" s="36">
        <f t="shared" si="8"/>
        <v>76</v>
      </c>
      <c r="S87"/>
      <c r="AA87" s="2" t="e">
        <f t="array" ref="AA87">_xlfn.XLOOKUP(1,(INDEX(SFactors,,2)=10^LEFT(A87,1))*(INDEX(SFactors,,3)=(LEN(A87)-LEN(SUBSTITUTE(A87,"_","")))),INDEX(SFactors,,4))*PreTenB+(C87-PreTenB)*_xlfn.XLOOKUP(1,(INDEX(SFactors,,2)=10^LEFT(A87,1))*(INDEX(SFactors,,3)=(LEN(A87)-LEN(SUBSTITUTE(A87,"_","")))),INDEX(SFactors,,5))</f>
        <v>#N/A</v>
      </c>
      <c r="AB87" s="25" t="e">
        <f t="shared" si="5"/>
        <v>#N/A</v>
      </c>
      <c r="AC87" s="2" t="e">
        <f t="array" ref="AC87">_xlfn.XLOOKUP(1,
    (INDEX(SFactors,,2)=10^LEFT(A87,1)) *
    (INDEX(SFactors,,3)=(LEN(A87)-LEN(SUBSTITUTE(A87,"_","")))),
    INDEX(SFactors,,4)
)</f>
        <v>#N/A</v>
      </c>
      <c r="AD87" s="3" t="e">
        <f t="array" ref="AD87">_xlfn.XLOOKUP(1,(INDEX(SFactors,,2)=10^LEFT(A87,1))*(INDEX(SFactors,,3)=(LEN(A87)-LEN(SUBSTITUTE(A87,"_","")))),INDEX(SFactors,,5))</f>
        <v>#N/A</v>
      </c>
      <c r="AE87" s="3" t="e">
        <f t="shared" si="7"/>
        <v>#N/A</v>
      </c>
    </row>
    <row r="88" spans="1:3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2"/>
      <c r="Q88" s="3">
        <f t="shared" si="6"/>
        <v>244</v>
      </c>
      <c r="R88" s="36">
        <f t="shared" si="8"/>
        <v>76</v>
      </c>
      <c r="S88"/>
      <c r="AA88" s="2" t="e">
        <f t="array" ref="AA88">_xlfn.XLOOKUP(1,(INDEX(SFactors,,2)=10^LEFT(A88,1))*(INDEX(SFactors,,3)=(LEN(A88)-LEN(SUBSTITUTE(A88,"_","")))),INDEX(SFactors,,4))*PreTenB+(C88-PreTenB)*_xlfn.XLOOKUP(1,(INDEX(SFactors,,2)=10^LEFT(A88,1))*(INDEX(SFactors,,3)=(LEN(A88)-LEN(SUBSTITUTE(A88,"_","")))),INDEX(SFactors,,5))</f>
        <v>#N/A</v>
      </c>
      <c r="AB88" s="25" t="e">
        <f t="shared" si="5"/>
        <v>#N/A</v>
      </c>
      <c r="AC88" s="2" t="e">
        <f t="array" ref="AC88">_xlfn.XLOOKUP(1,
    (INDEX(SFactors,,2)=10^LEFT(A88,1)) *
    (INDEX(SFactors,,3)=(LEN(A88)-LEN(SUBSTITUTE(A88,"_","")))),
    INDEX(SFactors,,4)
)</f>
        <v>#N/A</v>
      </c>
      <c r="AD88" s="3" t="e">
        <f t="array" ref="AD88">_xlfn.XLOOKUP(1,(INDEX(SFactors,,2)=10^LEFT(A88,1))*(INDEX(SFactors,,3)=(LEN(A88)-LEN(SUBSTITUTE(A88,"_","")))),INDEX(SFactors,,5))</f>
        <v>#N/A</v>
      </c>
      <c r="AE88" s="3" t="e">
        <f t="shared" si="7"/>
        <v>#N/A</v>
      </c>
    </row>
    <row r="89" spans="1:3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"/>
      <c r="Q89" s="3">
        <f t="shared" si="6"/>
        <v>5</v>
      </c>
      <c r="R89" s="36">
        <f t="shared" si="8"/>
        <v>5</v>
      </c>
      <c r="S89"/>
      <c r="AA89" s="2" t="e">
        <f t="array" ref="AA89">_xlfn.XLOOKUP(1,(INDEX(SFactors,,2)=10^LEFT(A89,1))*(INDEX(SFactors,,3)=(LEN(A89)-LEN(SUBSTITUTE(A89,"_","")))),INDEX(SFactors,,4))*PreTenB+(C89-PreTenB)*_xlfn.XLOOKUP(1,(INDEX(SFactors,,2)=10^LEFT(A89,1))*(INDEX(SFactors,,3)=(LEN(A89)-LEN(SUBSTITUTE(A89,"_","")))),INDEX(SFactors,,5))</f>
        <v>#N/A</v>
      </c>
      <c r="AB89" s="25" t="e">
        <f t="shared" ref="AB89" si="10">AA89/MBL</f>
        <v>#N/A</v>
      </c>
      <c r="AC89" s="2" t="e">
        <f t="array" ref="AC89">_xlfn.XLOOKUP(1,
    (INDEX(SFactors,,2)=10^LEFT(A89,1)) *
    (INDEX(SFactors,,3)=(LEN(A89)-LEN(SUBSTITUTE(A89,"_","")))),
    INDEX(SFactors,,4)
)</f>
        <v>#N/A</v>
      </c>
      <c r="AD89" s="3" t="e">
        <f t="array" ref="AD89">_xlfn.XLOOKUP(1,(INDEX(SFactors,,2)=10^LEFT(A89,1))*(INDEX(SFactors,,3)=(LEN(A89)-LEN(SUBSTITUTE(A89,"_","")))),INDEX(SFactors,,5))</f>
        <v>#N/A</v>
      </c>
      <c r="AE89" s="3" t="e">
        <f t="shared" si="7"/>
        <v>#N/A</v>
      </c>
    </row>
    <row r="90" spans="1:3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2"/>
      <c r="Q90" s="3">
        <f t="shared" si="6"/>
        <v>17</v>
      </c>
      <c r="R90" s="36">
        <f t="shared" si="8"/>
        <v>5</v>
      </c>
      <c r="S90"/>
      <c r="AA90" s="2" t="e">
        <f t="array" ref="AA90">_xlfn.XLOOKUP(1,(INDEX(SFactors,,2)=10^LEFT(A90,1))*(INDEX(SFactors,,3)=(LEN(A90)-LEN(SUBSTITUTE(A90,"_","")))),INDEX(SFactors,,4))*PreTenB+(C90-PreTenB)*_xlfn.XLOOKUP(1,(INDEX(SFactors,,2)=10^LEFT(A90,1))*(INDEX(SFactors,,3)=(LEN(A90)-LEN(SUBSTITUTE(A90,"_","")))),INDEX(SFactors,,5))</f>
        <v>#N/A</v>
      </c>
      <c r="AB90" s="25" t="e">
        <f t="shared" si="5"/>
        <v>#N/A</v>
      </c>
      <c r="AC90" s="2" t="e">
        <f t="array" ref="AC90">_xlfn.XLOOKUP(1,
    (INDEX(SFactors,,2)=10^LEFT(A90,1)) *
    (INDEX(SFactors,,3)=(LEN(A90)-LEN(SUBSTITUTE(A90,"_","")))),
    INDEX(SFactors,,4)
)</f>
        <v>#N/A</v>
      </c>
      <c r="AD90" s="3" t="e">
        <f t="array" ref="AD90">_xlfn.XLOOKUP(1,(INDEX(SFactors,,2)=10^LEFT(A90,1))*(INDEX(SFactors,,3)=(LEN(A90)-LEN(SUBSTITUTE(A90,"_","")))),INDEX(SFactors,,5))</f>
        <v>#N/A</v>
      </c>
      <c r="AE90" s="3" t="e">
        <f t="shared" si="7"/>
        <v>#N/A</v>
      </c>
    </row>
    <row r="91" spans="1:3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2"/>
      <c r="Q91" s="3">
        <f t="shared" si="6"/>
        <v>29</v>
      </c>
      <c r="R91" s="36">
        <f t="shared" si="8"/>
        <v>5</v>
      </c>
      <c r="S91"/>
      <c r="AA91" s="2" t="e">
        <f t="array" ref="AA91">_xlfn.XLOOKUP(1,(INDEX(SFactors,,2)=10^LEFT(A91,1))*(INDEX(SFactors,,3)=(LEN(A91)-LEN(SUBSTITUTE(A91,"_","")))),INDEX(SFactors,,4))*PreTenB+(C91-PreTenB)*_xlfn.XLOOKUP(1,(INDEX(SFactors,,2)=10^LEFT(A91,1))*(INDEX(SFactors,,3)=(LEN(A91)-LEN(SUBSTITUTE(A91,"_","")))),INDEX(SFactors,,5))</f>
        <v>#N/A</v>
      </c>
      <c r="AB91" s="25" t="e">
        <f t="shared" si="5"/>
        <v>#N/A</v>
      </c>
      <c r="AC91" s="2" t="e">
        <f t="array" ref="AC91">_xlfn.XLOOKUP(1,
    (INDEX(SFactors,,2)=10^LEFT(A91,1)) *
    (INDEX(SFactors,,3)=(LEN(A91)-LEN(SUBSTITUTE(A91,"_","")))),
    INDEX(SFactors,,4)
)</f>
        <v>#N/A</v>
      </c>
      <c r="AD91" s="3" t="e">
        <f t="array" ref="AD91">_xlfn.XLOOKUP(1,(INDEX(SFactors,,2)=10^LEFT(A91,1))*(INDEX(SFactors,,3)=(LEN(A91)-LEN(SUBSTITUTE(A91,"_","")))),INDEX(SFactors,,5))</f>
        <v>#N/A</v>
      </c>
      <c r="AE91" s="3" t="e">
        <f t="shared" si="7"/>
        <v>#N/A</v>
      </c>
    </row>
    <row r="92" spans="1:3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2"/>
      <c r="Q92" s="3">
        <f t="shared" si="6"/>
        <v>41</v>
      </c>
      <c r="R92" s="36">
        <f t="shared" si="8"/>
        <v>17</v>
      </c>
      <c r="S92"/>
      <c r="AA92" s="2" t="e">
        <f t="array" ref="AA92">_xlfn.XLOOKUP(1,(INDEX(SFactors,,2)=10^LEFT(A92,1))*(INDEX(SFactors,,3)=(LEN(A92)-LEN(SUBSTITUTE(A92,"_","")))),INDEX(SFactors,,4))*PreTenB+(C92-PreTenB)*_xlfn.XLOOKUP(1,(INDEX(SFactors,,2)=10^LEFT(A92,1))*(INDEX(SFactors,,3)=(LEN(A92)-LEN(SUBSTITUTE(A92,"_","")))),INDEX(SFactors,,5))</f>
        <v>#N/A</v>
      </c>
      <c r="AB92" s="25" t="e">
        <f t="shared" si="5"/>
        <v>#N/A</v>
      </c>
      <c r="AC92" s="2" t="e">
        <f t="array" ref="AC92">_xlfn.XLOOKUP(1,
    (INDEX(SFactors,,2)=10^LEFT(A92,1)) *
    (INDEX(SFactors,,3)=(LEN(A92)-LEN(SUBSTITUTE(A92,"_","")))),
    INDEX(SFactors,,4)
)</f>
        <v>#N/A</v>
      </c>
      <c r="AD92" s="3" t="e">
        <f t="array" ref="AD92">_xlfn.XLOOKUP(1,(INDEX(SFactors,,2)=10^LEFT(A92,1))*(INDEX(SFactors,,3)=(LEN(A92)-LEN(SUBSTITUTE(A92,"_","")))),INDEX(SFactors,,5))</f>
        <v>#N/A</v>
      </c>
      <c r="AE92" s="3" t="e">
        <f t="shared" si="7"/>
        <v>#N/A</v>
      </c>
    </row>
    <row r="93" spans="1:3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2"/>
      <c r="Q93" s="3">
        <f t="shared" si="6"/>
        <v>53</v>
      </c>
      <c r="R93" s="36">
        <f t="shared" si="8"/>
        <v>17</v>
      </c>
      <c r="S93"/>
      <c r="AA93" s="2" t="e">
        <f t="array" ref="AA93">_xlfn.XLOOKUP(1,(INDEX(SFactors,,2)=10^LEFT(A93,1))*(INDEX(SFactors,,3)=(LEN(A93)-LEN(SUBSTITUTE(A93,"_","")))),INDEX(SFactors,,4))*PreTenB+(C93-PreTenB)*_xlfn.XLOOKUP(1,(INDEX(SFactors,,2)=10^LEFT(A93,1))*(INDEX(SFactors,,3)=(LEN(A93)-LEN(SUBSTITUTE(A93,"_","")))),INDEX(SFactors,,5))</f>
        <v>#N/A</v>
      </c>
      <c r="AB93" s="25" t="e">
        <f t="shared" si="5"/>
        <v>#N/A</v>
      </c>
      <c r="AC93" s="2" t="e">
        <f t="array" ref="AC93">_xlfn.XLOOKUP(1,
    (INDEX(SFactors,,2)=10^LEFT(A93,1)) *
    (INDEX(SFactors,,3)=(LEN(A93)-LEN(SUBSTITUTE(A93,"_","")))),
    INDEX(SFactors,,4)
)</f>
        <v>#N/A</v>
      </c>
      <c r="AD93" s="3" t="e">
        <f t="array" ref="AD93">_xlfn.XLOOKUP(1,(INDEX(SFactors,,2)=10^LEFT(A93,1))*(INDEX(SFactors,,3)=(LEN(A93)-LEN(SUBSTITUTE(A93,"_","")))),INDEX(SFactors,,5))</f>
        <v>#N/A</v>
      </c>
      <c r="AE93" s="3" t="e">
        <f t="shared" si="7"/>
        <v>#N/A</v>
      </c>
    </row>
    <row r="94" spans="1:3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2"/>
      <c r="Q94" s="3">
        <f t="shared" si="6"/>
        <v>65</v>
      </c>
      <c r="R94" s="36">
        <f t="shared" si="8"/>
        <v>17</v>
      </c>
      <c r="S94"/>
      <c r="AA94" s="2" t="e">
        <f t="array" ref="AA94">_xlfn.XLOOKUP(1,(INDEX(SFactors,,2)=10^LEFT(A94,1))*(INDEX(SFactors,,3)=(LEN(A94)-LEN(SUBSTITUTE(A94,"_","")))),INDEX(SFactors,,4))*PreTenB+(C94-PreTenB)*_xlfn.XLOOKUP(1,(INDEX(SFactors,,2)=10^LEFT(A94,1))*(INDEX(SFactors,,3)=(LEN(A94)-LEN(SUBSTITUTE(A94,"_","")))),INDEX(SFactors,,5))</f>
        <v>#N/A</v>
      </c>
      <c r="AB94" s="25" t="e">
        <f t="shared" si="5"/>
        <v>#N/A</v>
      </c>
      <c r="AC94" s="2" t="e">
        <f t="array" ref="AC94">_xlfn.XLOOKUP(1,
    (INDEX(SFactors,,2)=10^LEFT(A94,1)) *
    (INDEX(SFactors,,3)=(LEN(A94)-LEN(SUBSTITUTE(A94,"_","")))),
    INDEX(SFactors,,4)
)</f>
        <v>#N/A</v>
      </c>
      <c r="AD94" s="3" t="e">
        <f t="array" ref="AD94">_xlfn.XLOOKUP(1,(INDEX(SFactors,,2)=10^LEFT(A94,1))*(INDEX(SFactors,,3)=(LEN(A94)-LEN(SUBSTITUTE(A94,"_","")))),INDEX(SFactors,,5))</f>
        <v>#N/A</v>
      </c>
      <c r="AE94" s="3" t="e">
        <f t="shared" si="7"/>
        <v>#N/A</v>
      </c>
    </row>
    <row r="95" spans="1:3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2"/>
      <c r="Q95" s="3">
        <f t="shared" si="6"/>
        <v>77</v>
      </c>
      <c r="R95" s="36">
        <f t="shared" si="8"/>
        <v>29</v>
      </c>
      <c r="S95"/>
      <c r="AA95" s="2" t="e">
        <f t="array" ref="AA95">_xlfn.XLOOKUP(1,(INDEX(SFactors,,2)=10^LEFT(A95,1))*(INDEX(SFactors,,3)=(LEN(A95)-LEN(SUBSTITUTE(A95,"_","")))),INDEX(SFactors,,4))*PreTenB+(C95-PreTenB)*_xlfn.XLOOKUP(1,(INDEX(SFactors,,2)=10^LEFT(A95,1))*(INDEX(SFactors,,3)=(LEN(A95)-LEN(SUBSTITUTE(A95,"_","")))),INDEX(SFactors,,5))</f>
        <v>#N/A</v>
      </c>
      <c r="AB95" s="25" t="e">
        <f t="shared" si="5"/>
        <v>#N/A</v>
      </c>
      <c r="AC95" s="2" t="e">
        <f t="array" ref="AC95">_xlfn.XLOOKUP(1,
    (INDEX(SFactors,,2)=10^LEFT(A95,1)) *
    (INDEX(SFactors,,3)=(LEN(A95)-LEN(SUBSTITUTE(A95,"_","")))),
    INDEX(SFactors,,4)
)</f>
        <v>#N/A</v>
      </c>
      <c r="AD95" s="3" t="e">
        <f t="array" ref="AD95">_xlfn.XLOOKUP(1,(INDEX(SFactors,,2)=10^LEFT(A95,1))*(INDEX(SFactors,,3)=(LEN(A95)-LEN(SUBSTITUTE(A95,"_","")))),INDEX(SFactors,,5))</f>
        <v>#N/A</v>
      </c>
      <c r="AE95" s="3" t="e">
        <f t="shared" si="7"/>
        <v>#N/A</v>
      </c>
    </row>
    <row r="96" spans="1:3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2"/>
      <c r="Q96" s="3">
        <f t="shared" si="6"/>
        <v>89</v>
      </c>
      <c r="R96" s="36">
        <f t="shared" si="8"/>
        <v>29</v>
      </c>
      <c r="S96"/>
      <c r="AA96" s="2" t="e">
        <f t="array" ref="AA96">_xlfn.XLOOKUP(1,(INDEX(SFactors,,2)=10^LEFT(A96,1))*(INDEX(SFactors,,3)=(LEN(A96)-LEN(SUBSTITUTE(A96,"_","")))),INDEX(SFactors,,4))*PreTenB+(C96-PreTenB)*_xlfn.XLOOKUP(1,(INDEX(SFactors,,2)=10^LEFT(A96,1))*(INDEX(SFactors,,3)=(LEN(A96)-LEN(SUBSTITUTE(A96,"_","")))),INDEX(SFactors,,5))</f>
        <v>#N/A</v>
      </c>
      <c r="AB96" s="25" t="e">
        <f t="shared" si="5"/>
        <v>#N/A</v>
      </c>
      <c r="AC96" s="2" t="e">
        <f t="array" ref="AC96">_xlfn.XLOOKUP(1,
    (INDEX(SFactors,,2)=10^LEFT(A96,1)) *
    (INDEX(SFactors,,3)=(LEN(A96)-LEN(SUBSTITUTE(A96,"_","")))),
    INDEX(SFactors,,4)
)</f>
        <v>#N/A</v>
      </c>
      <c r="AD96" s="3" t="e">
        <f t="array" ref="AD96">_xlfn.XLOOKUP(1,(INDEX(SFactors,,2)=10^LEFT(A96,1))*(INDEX(SFactors,,3)=(LEN(A96)-LEN(SUBSTITUTE(A96,"_","")))),INDEX(SFactors,,5))</f>
        <v>#N/A</v>
      </c>
      <c r="AE96" s="3" t="e">
        <f t="shared" si="7"/>
        <v>#N/A</v>
      </c>
    </row>
    <row r="97" spans="1:3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2"/>
      <c r="Q97" s="3">
        <f t="shared" si="6"/>
        <v>101</v>
      </c>
      <c r="R97" s="36">
        <f t="shared" si="8"/>
        <v>29</v>
      </c>
      <c r="S97"/>
      <c r="AA97" s="2" t="e">
        <f t="array" ref="AA97">_xlfn.XLOOKUP(1,(INDEX(SFactors,,2)=10^LEFT(A97,1))*(INDEX(SFactors,,3)=(LEN(A97)-LEN(SUBSTITUTE(A97,"_","")))),INDEX(SFactors,,4))*PreTenB+(C97-PreTenB)*_xlfn.XLOOKUP(1,(INDEX(SFactors,,2)=10^LEFT(A97,1))*(INDEX(SFactors,,3)=(LEN(A97)-LEN(SUBSTITUTE(A97,"_","")))),INDEX(SFactors,,5))</f>
        <v>#N/A</v>
      </c>
      <c r="AB97" s="25" t="e">
        <f t="shared" si="5"/>
        <v>#N/A</v>
      </c>
      <c r="AC97" s="2" t="e">
        <f t="array" ref="AC97">_xlfn.XLOOKUP(1,
    (INDEX(SFactors,,2)=10^LEFT(A97,1)) *
    (INDEX(SFactors,,3)=(LEN(A97)-LEN(SUBSTITUTE(A97,"_","")))),
    INDEX(SFactors,,4)
)</f>
        <v>#N/A</v>
      </c>
      <c r="AD97" s="3" t="e">
        <f t="array" ref="AD97">_xlfn.XLOOKUP(1,(INDEX(SFactors,,2)=10^LEFT(A97,1))*(INDEX(SFactors,,3)=(LEN(A97)-LEN(SUBSTITUTE(A97,"_","")))),INDEX(SFactors,,5))</f>
        <v>#N/A</v>
      </c>
      <c r="AE97" s="3" t="e">
        <f t="shared" si="7"/>
        <v>#N/A</v>
      </c>
    </row>
    <row r="98" spans="1:3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2"/>
      <c r="Q98" s="3">
        <f t="shared" si="6"/>
        <v>113</v>
      </c>
      <c r="R98" s="36">
        <f t="shared" si="8"/>
        <v>41</v>
      </c>
      <c r="S98"/>
      <c r="AA98" s="2" t="e">
        <f t="array" ref="AA98">_xlfn.XLOOKUP(1,(INDEX(SFactors,,2)=10^LEFT(A98,1))*(INDEX(SFactors,,3)=(LEN(A98)-LEN(SUBSTITUTE(A98,"_","")))),INDEX(SFactors,,4))*PreTenB+(C98-PreTenB)*_xlfn.XLOOKUP(1,(INDEX(SFactors,,2)=10^LEFT(A98,1))*(INDEX(SFactors,,3)=(LEN(A98)-LEN(SUBSTITUTE(A98,"_","")))),INDEX(SFactors,,5))</f>
        <v>#N/A</v>
      </c>
      <c r="AB98" s="25" t="e">
        <f t="shared" si="5"/>
        <v>#N/A</v>
      </c>
      <c r="AC98" s="2" t="e">
        <f t="array" ref="AC98">_xlfn.XLOOKUP(1,
    (INDEX(SFactors,,2)=10^LEFT(A98,1)) *
    (INDEX(SFactors,,3)=(LEN(A98)-LEN(SUBSTITUTE(A98,"_","")))),
    INDEX(SFactors,,4)
)</f>
        <v>#N/A</v>
      </c>
      <c r="AD98" s="3" t="e">
        <f t="array" ref="AD98">_xlfn.XLOOKUP(1,(INDEX(SFactors,,2)=10^LEFT(A98,1))*(INDEX(SFactors,,3)=(LEN(A98)-LEN(SUBSTITUTE(A98,"_","")))),INDEX(SFactors,,5))</f>
        <v>#N/A</v>
      </c>
      <c r="AE98" s="3" t="e">
        <f t="shared" si="7"/>
        <v>#N/A</v>
      </c>
    </row>
    <row r="99" spans="1:3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2"/>
      <c r="Q99" s="3">
        <f t="shared" si="6"/>
        <v>125</v>
      </c>
      <c r="R99" s="36">
        <f t="shared" si="8"/>
        <v>41</v>
      </c>
      <c r="S99"/>
      <c r="AA99" s="2" t="e">
        <f t="array" ref="AA99">_xlfn.XLOOKUP(1,(INDEX(SFactors,,2)=10^LEFT(A99,1))*(INDEX(SFactors,,3)=(LEN(A99)-LEN(SUBSTITUTE(A99,"_","")))),INDEX(SFactors,,4))*PreTenB+(C99-PreTenB)*_xlfn.XLOOKUP(1,(INDEX(SFactors,,2)=10^LEFT(A99,1))*(INDEX(SFactors,,3)=(LEN(A99)-LEN(SUBSTITUTE(A99,"_","")))),INDEX(SFactors,,5))</f>
        <v>#N/A</v>
      </c>
      <c r="AB99" s="25" t="e">
        <f t="shared" si="5"/>
        <v>#N/A</v>
      </c>
      <c r="AC99" s="2" t="e">
        <f t="array" ref="AC99">_xlfn.XLOOKUP(1,
    (INDEX(SFactors,,2)=10^LEFT(A99,1)) *
    (INDEX(SFactors,,3)=(LEN(A99)-LEN(SUBSTITUTE(A99,"_","")))),
    INDEX(SFactors,,4)
)</f>
        <v>#N/A</v>
      </c>
      <c r="AD99" s="3" t="e">
        <f t="array" ref="AD99">_xlfn.XLOOKUP(1,(INDEX(SFactors,,2)=10^LEFT(A99,1))*(INDEX(SFactors,,3)=(LEN(A99)-LEN(SUBSTITUTE(A99,"_","")))),INDEX(SFactors,,5))</f>
        <v>#N/A</v>
      </c>
      <c r="AE99" s="3" t="e">
        <f t="shared" si="7"/>
        <v>#N/A</v>
      </c>
    </row>
    <row r="100" spans="1:3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2"/>
      <c r="Q100" s="3">
        <f t="shared" si="6"/>
        <v>137</v>
      </c>
      <c r="R100" s="36">
        <f t="shared" si="8"/>
        <v>41</v>
      </c>
      <c r="S100"/>
      <c r="AA100" s="2" t="e">
        <f t="array" ref="AA100">_xlfn.XLOOKUP(1,(INDEX(SFactors,,2)=10^LEFT(A100,1))*(INDEX(SFactors,,3)=(LEN(A100)-LEN(SUBSTITUTE(A100,"_","")))),INDEX(SFactors,,4))*PreTenB+(C100-PreTenB)*_xlfn.XLOOKUP(1,(INDEX(SFactors,,2)=10^LEFT(A100,1))*(INDEX(SFactors,,3)=(LEN(A100)-LEN(SUBSTITUTE(A100,"_","")))),INDEX(SFactors,,5))</f>
        <v>#N/A</v>
      </c>
      <c r="AB100" s="25" t="e">
        <f t="shared" si="5"/>
        <v>#N/A</v>
      </c>
      <c r="AC100" s="2" t="e">
        <f t="array" ref="AC100">_xlfn.XLOOKUP(1,
    (INDEX(SFactors,,2)=10^LEFT(A100,1)) *
    (INDEX(SFactors,,3)=(LEN(A100)-LEN(SUBSTITUTE(A100,"_","")))),
    INDEX(SFactors,,4)
)</f>
        <v>#N/A</v>
      </c>
      <c r="AD100" s="3" t="e">
        <f t="array" ref="AD100">_xlfn.XLOOKUP(1,(INDEX(SFactors,,2)=10^LEFT(A100,1))*(INDEX(SFactors,,3)=(LEN(A100)-LEN(SUBSTITUTE(A100,"_","")))),INDEX(SFactors,,5))</f>
        <v>#N/A</v>
      </c>
      <c r="AE100" s="3" t="e">
        <f t="shared" si="7"/>
        <v>#N/A</v>
      </c>
    </row>
    <row r="101" spans="1:3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2"/>
      <c r="Q101" s="3">
        <f t="shared" si="6"/>
        <v>149</v>
      </c>
      <c r="R101" s="36">
        <f t="shared" si="8"/>
        <v>53</v>
      </c>
      <c r="S101"/>
      <c r="AA101" s="2" t="e">
        <f t="array" ref="AA101">_xlfn.XLOOKUP(1,(INDEX(SFactors,,2)=10^LEFT(A101,1))*(INDEX(SFactors,,3)=(LEN(A101)-LEN(SUBSTITUTE(A101,"_","")))),INDEX(SFactors,,4))*PreTenB+(C101-PreTenB)*_xlfn.XLOOKUP(1,(INDEX(SFactors,,2)=10^LEFT(A101,1))*(INDEX(SFactors,,3)=(LEN(A101)-LEN(SUBSTITUTE(A101,"_","")))),INDEX(SFactors,,5))</f>
        <v>#N/A</v>
      </c>
      <c r="AB101" s="25" t="e">
        <f t="shared" ref="AB101" si="11">AA101/MBL</f>
        <v>#N/A</v>
      </c>
      <c r="AC101" s="2" t="e">
        <f t="array" ref="AC101">_xlfn.XLOOKUP(1,
    (INDEX(SFactors,,2)=10^LEFT(A101,1)) *
    (INDEX(SFactors,,3)=(LEN(A101)-LEN(SUBSTITUTE(A101,"_","")))),
    INDEX(SFactors,,4)
)</f>
        <v>#N/A</v>
      </c>
      <c r="AD101" s="3" t="e">
        <f t="array" ref="AD101">_xlfn.XLOOKUP(1,(INDEX(SFactors,,2)=10^LEFT(A101,1))*(INDEX(SFactors,,3)=(LEN(A101)-LEN(SUBSTITUTE(A101,"_","")))),INDEX(SFactors,,5))</f>
        <v>#N/A</v>
      </c>
      <c r="AE101" s="3" t="e">
        <f t="shared" si="7"/>
        <v>#N/A</v>
      </c>
    </row>
    <row r="102" spans="1:3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2"/>
      <c r="Q102" s="3">
        <f t="shared" si="6"/>
        <v>161</v>
      </c>
      <c r="R102" s="36">
        <f t="shared" si="8"/>
        <v>53</v>
      </c>
      <c r="S102"/>
      <c r="AA102" s="2" t="e">
        <f t="array" ref="AA102">_xlfn.XLOOKUP(1,(INDEX(SFactors,,2)=10^LEFT(A102,1))*(INDEX(SFactors,,3)=(LEN(A102)-LEN(SUBSTITUTE(A102,"_","")))),INDEX(SFactors,,4))*PreTenB+(C102-PreTenB)*_xlfn.XLOOKUP(1,(INDEX(SFactors,,2)=10^LEFT(A102,1))*(INDEX(SFactors,,3)=(LEN(A102)-LEN(SUBSTITUTE(A102,"_","")))),INDEX(SFactors,,5))</f>
        <v>#N/A</v>
      </c>
      <c r="AB102" s="25" t="e">
        <f t="shared" si="5"/>
        <v>#N/A</v>
      </c>
      <c r="AC102" s="2" t="e">
        <f t="array" ref="AC102">_xlfn.XLOOKUP(1,
    (INDEX(SFactors,,2)=10^LEFT(A102,1)) *
    (INDEX(SFactors,,3)=(LEN(A102)-LEN(SUBSTITUTE(A102,"_","")))),
    INDEX(SFactors,,4)
)</f>
        <v>#N/A</v>
      </c>
      <c r="AD102" s="3" t="e">
        <f t="array" ref="AD102">_xlfn.XLOOKUP(1,(INDEX(SFactors,,2)=10^LEFT(A102,1))*(INDEX(SFactors,,3)=(LEN(A102)-LEN(SUBSTITUTE(A102,"_","")))),INDEX(SFactors,,5))</f>
        <v>#N/A</v>
      </c>
      <c r="AE102" s="3" t="e">
        <f t="shared" si="7"/>
        <v>#N/A</v>
      </c>
    </row>
    <row r="103" spans="1:3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2"/>
      <c r="Q103" s="3">
        <f t="shared" si="6"/>
        <v>173</v>
      </c>
      <c r="R103" s="36">
        <f t="shared" si="8"/>
        <v>53</v>
      </c>
      <c r="S103"/>
      <c r="AA103" s="2" t="e">
        <f t="array" ref="AA103">_xlfn.XLOOKUP(1,(INDEX(SFactors,,2)=10^LEFT(A103,1))*(INDEX(SFactors,,3)=(LEN(A103)-LEN(SUBSTITUTE(A103,"_","")))),INDEX(SFactors,,4))*PreTenB+(C103-PreTenB)*_xlfn.XLOOKUP(1,(INDEX(SFactors,,2)=10^LEFT(A103,1))*(INDEX(SFactors,,3)=(LEN(A103)-LEN(SUBSTITUTE(A103,"_","")))),INDEX(SFactors,,5))</f>
        <v>#N/A</v>
      </c>
      <c r="AB103" s="25" t="e">
        <f t="shared" si="5"/>
        <v>#N/A</v>
      </c>
      <c r="AC103" s="2" t="e">
        <f t="array" ref="AC103">_xlfn.XLOOKUP(1,
    (INDEX(SFactors,,2)=10^LEFT(A103,1)) *
    (INDEX(SFactors,,3)=(LEN(A103)-LEN(SUBSTITUTE(A103,"_","")))),
    INDEX(SFactors,,4)
)</f>
        <v>#N/A</v>
      </c>
      <c r="AD103" s="3" t="e">
        <f t="array" ref="AD103">_xlfn.XLOOKUP(1,(INDEX(SFactors,,2)=10^LEFT(A103,1))*(INDEX(SFactors,,3)=(LEN(A103)-LEN(SUBSTITUTE(A103,"_","")))),INDEX(SFactors,,5))</f>
        <v>#N/A</v>
      </c>
      <c r="AE103" s="3" t="e">
        <f t="shared" si="7"/>
        <v>#N/A</v>
      </c>
    </row>
    <row r="104" spans="1:3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2"/>
      <c r="Q104" s="3">
        <f t="shared" si="6"/>
        <v>185</v>
      </c>
      <c r="R104" s="36">
        <f t="shared" si="8"/>
        <v>65</v>
      </c>
      <c r="S104"/>
      <c r="AA104" s="2" t="e">
        <f t="array" ref="AA104">_xlfn.XLOOKUP(1,(INDEX(SFactors,,2)=10^LEFT(A104,1))*(INDEX(SFactors,,3)=(LEN(A104)-LEN(SUBSTITUTE(A104,"_","")))),INDEX(SFactors,,4))*PreTenB+(C104-PreTenB)*_xlfn.XLOOKUP(1,(INDEX(SFactors,,2)=10^LEFT(A104,1))*(INDEX(SFactors,,3)=(LEN(A104)-LEN(SUBSTITUTE(A104,"_","")))),INDEX(SFactors,,5))</f>
        <v>#N/A</v>
      </c>
      <c r="AB104" s="25" t="e">
        <f t="shared" si="5"/>
        <v>#N/A</v>
      </c>
      <c r="AC104" s="2" t="e">
        <f t="array" ref="AC104">_xlfn.XLOOKUP(1,
    (INDEX(SFactors,,2)=10^LEFT(A104,1)) *
    (INDEX(SFactors,,3)=(LEN(A104)-LEN(SUBSTITUTE(A104,"_","")))),
    INDEX(SFactors,,4)
)</f>
        <v>#N/A</v>
      </c>
      <c r="AD104" s="3" t="e">
        <f t="array" ref="AD104">_xlfn.XLOOKUP(1,(INDEX(SFactors,,2)=10^LEFT(A104,1))*(INDEX(SFactors,,3)=(LEN(A104)-LEN(SUBSTITUTE(A104,"_","")))),INDEX(SFactors,,5))</f>
        <v>#N/A</v>
      </c>
      <c r="AE104" s="3" t="e">
        <f t="shared" si="7"/>
        <v>#N/A</v>
      </c>
    </row>
    <row r="105" spans="1:3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2"/>
      <c r="Q105" s="3">
        <f t="shared" si="6"/>
        <v>197</v>
      </c>
      <c r="R105" s="36">
        <f t="shared" si="8"/>
        <v>65</v>
      </c>
      <c r="S105"/>
      <c r="AA105" s="2" t="e">
        <f t="array" ref="AA105">_xlfn.XLOOKUP(1,(INDEX(SFactors,,2)=10^LEFT(A105,1))*(INDEX(SFactors,,3)=(LEN(A105)-LEN(SUBSTITUTE(A105,"_","")))),INDEX(SFactors,,4))*PreTenB+(C105-PreTenB)*_xlfn.XLOOKUP(1,(INDEX(SFactors,,2)=10^LEFT(A105,1))*(INDEX(SFactors,,3)=(LEN(A105)-LEN(SUBSTITUTE(A105,"_","")))),INDEX(SFactors,,5))</f>
        <v>#N/A</v>
      </c>
      <c r="AB105" s="25" t="e">
        <f t="shared" si="5"/>
        <v>#N/A</v>
      </c>
      <c r="AC105" s="2" t="e">
        <f t="array" ref="AC105">_xlfn.XLOOKUP(1,
    (INDEX(SFactors,,2)=10^LEFT(A105,1)) *
    (INDEX(SFactors,,3)=(LEN(A105)-LEN(SUBSTITUTE(A105,"_","")))),
    INDEX(SFactors,,4)
)</f>
        <v>#N/A</v>
      </c>
      <c r="AD105" s="3" t="e">
        <f t="array" ref="AD105">_xlfn.XLOOKUP(1,(INDEX(SFactors,,2)=10^LEFT(A105,1))*(INDEX(SFactors,,3)=(LEN(A105)-LEN(SUBSTITUTE(A105,"_","")))),INDEX(SFactors,,5))</f>
        <v>#N/A</v>
      </c>
      <c r="AE105" s="3" t="e">
        <f t="shared" si="7"/>
        <v>#N/A</v>
      </c>
    </row>
    <row r="106" spans="1:3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2"/>
      <c r="Q106" s="3">
        <f t="shared" si="6"/>
        <v>209</v>
      </c>
      <c r="R106" s="36">
        <f t="shared" si="8"/>
        <v>65</v>
      </c>
      <c r="S106"/>
      <c r="AA106" s="2" t="e">
        <f t="array" ref="AA106">_xlfn.XLOOKUP(1,(INDEX(SFactors,,2)=10^LEFT(A106,1))*(INDEX(SFactors,,3)=(LEN(A106)-LEN(SUBSTITUTE(A106,"_","")))),INDEX(SFactors,,4))*PreTenB+(C106-PreTenB)*_xlfn.XLOOKUP(1,(INDEX(SFactors,,2)=10^LEFT(A106,1))*(INDEX(SFactors,,3)=(LEN(A106)-LEN(SUBSTITUTE(A106,"_","")))),INDEX(SFactors,,5))</f>
        <v>#N/A</v>
      </c>
      <c r="AB106" s="25" t="e">
        <f t="shared" si="5"/>
        <v>#N/A</v>
      </c>
      <c r="AC106" s="2" t="e">
        <f t="array" ref="AC106">_xlfn.XLOOKUP(1,
    (INDEX(SFactors,,2)=10^LEFT(A106,1)) *
    (INDEX(SFactors,,3)=(LEN(A106)-LEN(SUBSTITUTE(A106,"_","")))),
    INDEX(SFactors,,4)
)</f>
        <v>#N/A</v>
      </c>
      <c r="AD106" s="3" t="e">
        <f t="array" ref="AD106">_xlfn.XLOOKUP(1,(INDEX(SFactors,,2)=10^LEFT(A106,1))*(INDEX(SFactors,,3)=(LEN(A106)-LEN(SUBSTITUTE(A106,"_","")))),INDEX(SFactors,,5))</f>
        <v>#N/A</v>
      </c>
      <c r="AE106" s="3" t="e">
        <f t="shared" si="7"/>
        <v>#N/A</v>
      </c>
    </row>
    <row r="107" spans="1:3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2"/>
      <c r="Q107" s="3">
        <f t="shared" si="6"/>
        <v>221</v>
      </c>
      <c r="R107" s="36">
        <f t="shared" si="8"/>
        <v>77</v>
      </c>
      <c r="S107"/>
      <c r="AA107" s="2" t="e">
        <f t="array" ref="AA107">_xlfn.XLOOKUP(1,(INDEX(SFactors,,2)=10^LEFT(A107,1))*(INDEX(SFactors,,3)=(LEN(A107)-LEN(SUBSTITUTE(A107,"_","")))),INDEX(SFactors,,4))*PreTenB+(C107-PreTenB)*_xlfn.XLOOKUP(1,(INDEX(SFactors,,2)=10^LEFT(A107,1))*(INDEX(SFactors,,3)=(LEN(A107)-LEN(SUBSTITUTE(A107,"_","")))),INDEX(SFactors,,5))</f>
        <v>#N/A</v>
      </c>
      <c r="AB107" s="25" t="e">
        <f t="shared" si="5"/>
        <v>#N/A</v>
      </c>
      <c r="AC107" s="2" t="e">
        <f t="array" ref="AC107">_xlfn.XLOOKUP(1,
    (INDEX(SFactors,,2)=10^LEFT(A107,1)) *
    (INDEX(SFactors,,3)=(LEN(A107)-LEN(SUBSTITUTE(A107,"_","")))),
    INDEX(SFactors,,4)
)</f>
        <v>#N/A</v>
      </c>
      <c r="AD107" s="3" t="e">
        <f t="array" ref="AD107">_xlfn.XLOOKUP(1,(INDEX(SFactors,,2)=10^LEFT(A107,1))*(INDEX(SFactors,,3)=(LEN(A107)-LEN(SUBSTITUTE(A107,"_","")))),INDEX(SFactors,,5))</f>
        <v>#N/A</v>
      </c>
      <c r="AE107" s="3" t="e">
        <f t="shared" si="7"/>
        <v>#N/A</v>
      </c>
    </row>
    <row r="108" spans="1:3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2"/>
      <c r="Q108" s="3">
        <f t="shared" si="6"/>
        <v>233</v>
      </c>
      <c r="R108" s="36">
        <f t="shared" si="8"/>
        <v>77</v>
      </c>
      <c r="S108"/>
      <c r="AA108" s="2" t="e">
        <f t="array" ref="AA108">_xlfn.XLOOKUP(1,(INDEX(SFactors,,2)=10^LEFT(A108,1))*(INDEX(SFactors,,3)=(LEN(A108)-LEN(SUBSTITUTE(A108,"_","")))),INDEX(SFactors,,4))*PreTenB+(C108-PreTenB)*_xlfn.XLOOKUP(1,(INDEX(SFactors,,2)=10^LEFT(A108,1))*(INDEX(SFactors,,3)=(LEN(A108)-LEN(SUBSTITUTE(A108,"_","")))),INDEX(SFactors,,5))</f>
        <v>#N/A</v>
      </c>
      <c r="AB108" s="25" t="e">
        <f t="shared" si="5"/>
        <v>#N/A</v>
      </c>
      <c r="AC108" s="2" t="e">
        <f t="array" ref="AC108">_xlfn.XLOOKUP(1,
    (INDEX(SFactors,,2)=10^LEFT(A108,1)) *
    (INDEX(SFactors,,3)=(LEN(A108)-LEN(SUBSTITUTE(A108,"_","")))),
    INDEX(SFactors,,4)
)</f>
        <v>#N/A</v>
      </c>
      <c r="AD108" s="3" t="e">
        <f t="array" ref="AD108">_xlfn.XLOOKUP(1,(INDEX(SFactors,,2)=10^LEFT(A108,1))*(INDEX(SFactors,,3)=(LEN(A108)-LEN(SUBSTITUTE(A108,"_","")))),INDEX(SFactors,,5))</f>
        <v>#N/A</v>
      </c>
      <c r="AE108" s="3" t="e">
        <f t="shared" si="7"/>
        <v>#N/A</v>
      </c>
    </row>
    <row r="109" spans="1:3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2"/>
      <c r="Q109" s="3">
        <f t="shared" si="6"/>
        <v>245</v>
      </c>
      <c r="R109" s="36">
        <f t="shared" si="8"/>
        <v>77</v>
      </c>
      <c r="S109"/>
      <c r="AA109" s="2" t="e">
        <f t="array" ref="AA109">_xlfn.XLOOKUP(1,(INDEX(SFactors,,2)=10^LEFT(A109,1))*(INDEX(SFactors,,3)=(LEN(A109)-LEN(SUBSTITUTE(A109,"_","")))),INDEX(SFactors,,4))*PreTenB+(C109-PreTenB)*_xlfn.XLOOKUP(1,(INDEX(SFactors,,2)=10^LEFT(A109,1))*(INDEX(SFactors,,3)=(LEN(A109)-LEN(SUBSTITUTE(A109,"_","")))),INDEX(SFactors,,5))</f>
        <v>#N/A</v>
      </c>
      <c r="AB109" s="25" t="e">
        <f t="shared" si="5"/>
        <v>#N/A</v>
      </c>
      <c r="AC109" s="2" t="e">
        <f t="array" ref="AC109">_xlfn.XLOOKUP(1,
    (INDEX(SFactors,,2)=10^LEFT(A109,1)) *
    (INDEX(SFactors,,3)=(LEN(A109)-LEN(SUBSTITUTE(A109,"_","")))),
    INDEX(SFactors,,4)
)</f>
        <v>#N/A</v>
      </c>
      <c r="AD109" s="3" t="e">
        <f t="array" ref="AD109">_xlfn.XLOOKUP(1,(INDEX(SFactors,,2)=10^LEFT(A109,1))*(INDEX(SFactors,,3)=(LEN(A109)-LEN(SUBSTITUTE(A109,"_","")))),INDEX(SFactors,,5))</f>
        <v>#N/A</v>
      </c>
      <c r="AE109" s="3" t="e">
        <f t="shared" si="7"/>
        <v>#N/A</v>
      </c>
    </row>
    <row r="110" spans="1:3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2"/>
      <c r="Q110" s="3">
        <f t="shared" si="6"/>
        <v>6</v>
      </c>
      <c r="R110" s="36">
        <f t="shared" si="8"/>
        <v>6</v>
      </c>
      <c r="S110"/>
      <c r="AA110" s="2" t="e">
        <f t="array" ref="AA110">_xlfn.XLOOKUP(1,(INDEX(SFactors,,2)=10^LEFT(A110,1))*(INDEX(SFactors,,3)=(LEN(A110)-LEN(SUBSTITUTE(A110,"_","")))),INDEX(SFactors,,4))*PreTenB+(C110-PreTenB)*_xlfn.XLOOKUP(1,(INDEX(SFactors,,2)=10^LEFT(A110,1))*(INDEX(SFactors,,3)=(LEN(A110)-LEN(SUBSTITUTE(A110,"_","")))),INDEX(SFactors,,5))</f>
        <v>#N/A</v>
      </c>
      <c r="AB110" s="25" t="e">
        <f t="shared" si="5"/>
        <v>#N/A</v>
      </c>
      <c r="AC110" s="2" t="e">
        <f t="array" ref="AC110">_xlfn.XLOOKUP(1,
    (INDEX(SFactors,,2)=10^LEFT(A110,1)) *
    (INDEX(SFactors,,3)=(LEN(A110)-LEN(SUBSTITUTE(A110,"_","")))),
    INDEX(SFactors,,4)
)</f>
        <v>#N/A</v>
      </c>
      <c r="AD110" s="3" t="e">
        <f t="array" ref="AD110">_xlfn.XLOOKUP(1,(INDEX(SFactors,,2)=10^LEFT(A110,1))*(INDEX(SFactors,,3)=(LEN(A110)-LEN(SUBSTITUTE(A110,"_","")))),INDEX(SFactors,,5))</f>
        <v>#N/A</v>
      </c>
      <c r="AE110" s="3" t="e">
        <f t="shared" si="7"/>
        <v>#N/A</v>
      </c>
    </row>
    <row r="111" spans="1:3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2"/>
      <c r="Q111" s="3">
        <f t="shared" si="6"/>
        <v>18</v>
      </c>
      <c r="R111" s="36">
        <f t="shared" si="8"/>
        <v>6</v>
      </c>
      <c r="S111"/>
      <c r="AA111" s="2" t="e">
        <f t="array" ref="AA111">_xlfn.XLOOKUP(1,(INDEX(SFactors,,2)=10^LEFT(A111,1))*(INDEX(SFactors,,3)=(LEN(A111)-LEN(SUBSTITUTE(A111,"_","")))),INDEX(SFactors,,4))*PreTenB+(C111-PreTenB)*_xlfn.XLOOKUP(1,(INDEX(SFactors,,2)=10^LEFT(A111,1))*(INDEX(SFactors,,3)=(LEN(A111)-LEN(SUBSTITUTE(A111,"_","")))),INDEX(SFactors,,5))</f>
        <v>#N/A</v>
      </c>
      <c r="AB111" s="25" t="e">
        <f t="shared" si="5"/>
        <v>#N/A</v>
      </c>
      <c r="AC111" s="2" t="e">
        <f t="array" ref="AC111">_xlfn.XLOOKUP(1,
    (INDEX(SFactors,,2)=10^LEFT(A111,1)) *
    (INDEX(SFactors,,3)=(LEN(A111)-LEN(SUBSTITUTE(A111,"_","")))),
    INDEX(SFactors,,4)
)</f>
        <v>#N/A</v>
      </c>
      <c r="AD111" s="3" t="e">
        <f t="array" ref="AD111">_xlfn.XLOOKUP(1,(INDEX(SFactors,,2)=10^LEFT(A111,1))*(INDEX(SFactors,,3)=(LEN(A111)-LEN(SUBSTITUTE(A111,"_","")))),INDEX(SFactors,,5))</f>
        <v>#N/A</v>
      </c>
      <c r="AE111" s="3" t="e">
        <f t="shared" si="7"/>
        <v>#N/A</v>
      </c>
    </row>
    <row r="112" spans="1:3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2"/>
      <c r="Q112" s="3">
        <f t="shared" si="6"/>
        <v>30</v>
      </c>
      <c r="R112" s="36">
        <f t="shared" si="8"/>
        <v>6</v>
      </c>
      <c r="S112"/>
      <c r="AA112" s="2" t="e">
        <f t="array" ref="AA112">_xlfn.XLOOKUP(1,(INDEX(SFactors,,2)=10^LEFT(A112,1))*(INDEX(SFactors,,3)=(LEN(A112)-LEN(SUBSTITUTE(A112,"_","")))),INDEX(SFactors,,4))*PreTenB+(C112-PreTenB)*_xlfn.XLOOKUP(1,(INDEX(SFactors,,2)=10^LEFT(A112,1))*(INDEX(SFactors,,3)=(LEN(A112)-LEN(SUBSTITUTE(A112,"_","")))),INDEX(SFactors,,5))</f>
        <v>#N/A</v>
      </c>
      <c r="AB112" s="25" t="e">
        <f t="shared" si="5"/>
        <v>#N/A</v>
      </c>
      <c r="AC112" s="2" t="e">
        <f t="array" ref="AC112">_xlfn.XLOOKUP(1,
    (INDEX(SFactors,,2)=10^LEFT(A112,1)) *
    (INDEX(SFactors,,3)=(LEN(A112)-LEN(SUBSTITUTE(A112,"_","")))),
    INDEX(SFactors,,4)
)</f>
        <v>#N/A</v>
      </c>
      <c r="AD112" s="3" t="e">
        <f t="array" ref="AD112">_xlfn.XLOOKUP(1,(INDEX(SFactors,,2)=10^LEFT(A112,1))*(INDEX(SFactors,,3)=(LEN(A112)-LEN(SUBSTITUTE(A112,"_","")))),INDEX(SFactors,,5))</f>
        <v>#N/A</v>
      </c>
      <c r="AE112" s="3" t="e">
        <f t="shared" si="7"/>
        <v>#N/A</v>
      </c>
    </row>
    <row r="113" spans="1:3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2"/>
      <c r="Q113" s="3">
        <f t="shared" si="6"/>
        <v>42</v>
      </c>
      <c r="R113" s="36">
        <f t="shared" si="8"/>
        <v>18</v>
      </c>
      <c r="S113"/>
      <c r="AA113" s="2" t="e">
        <f t="array" ref="AA113">_xlfn.XLOOKUP(1,(INDEX(SFactors,,2)=10^LEFT(A113,1))*(INDEX(SFactors,,3)=(LEN(A113)-LEN(SUBSTITUTE(A113,"_","")))),INDEX(SFactors,,4))*PreTenB+(C113-PreTenB)*_xlfn.XLOOKUP(1,(INDEX(SFactors,,2)=10^LEFT(A113,1))*(INDEX(SFactors,,3)=(LEN(A113)-LEN(SUBSTITUTE(A113,"_","")))),INDEX(SFactors,,5))</f>
        <v>#N/A</v>
      </c>
      <c r="AB113" s="25" t="e">
        <f t="shared" ref="AB113" si="12">AA113/MBL</f>
        <v>#N/A</v>
      </c>
      <c r="AC113" s="2" t="e">
        <f t="array" ref="AC113">_xlfn.XLOOKUP(1,
    (INDEX(SFactors,,2)=10^LEFT(A113,1)) *
    (INDEX(SFactors,,3)=(LEN(A113)-LEN(SUBSTITUTE(A113,"_","")))),
    INDEX(SFactors,,4)
)</f>
        <v>#N/A</v>
      </c>
      <c r="AD113" s="3" t="e">
        <f t="array" ref="AD113">_xlfn.XLOOKUP(1,(INDEX(SFactors,,2)=10^LEFT(A113,1))*(INDEX(SFactors,,3)=(LEN(A113)-LEN(SUBSTITUTE(A113,"_","")))),INDEX(SFactors,,5))</f>
        <v>#N/A</v>
      </c>
      <c r="AE113" s="3" t="e">
        <f t="shared" si="7"/>
        <v>#N/A</v>
      </c>
    </row>
    <row r="114" spans="1:3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2"/>
      <c r="Q114" s="3">
        <f t="shared" si="6"/>
        <v>54</v>
      </c>
      <c r="R114" s="36">
        <f t="shared" si="8"/>
        <v>18</v>
      </c>
      <c r="S114"/>
      <c r="AA114" s="2" t="e">
        <f t="array" ref="AA114">_xlfn.XLOOKUP(1,(INDEX(SFactors,,2)=10^LEFT(A114,1))*(INDEX(SFactors,,3)=(LEN(A114)-LEN(SUBSTITUTE(A114,"_","")))),INDEX(SFactors,,4))*PreTenB+(C114-PreTenB)*_xlfn.XLOOKUP(1,(INDEX(SFactors,,2)=10^LEFT(A114,1))*(INDEX(SFactors,,3)=(LEN(A114)-LEN(SUBSTITUTE(A114,"_","")))),INDEX(SFactors,,5))</f>
        <v>#N/A</v>
      </c>
      <c r="AB114" s="25" t="e">
        <f t="shared" si="5"/>
        <v>#N/A</v>
      </c>
      <c r="AC114" s="2" t="e">
        <f t="array" ref="AC114">_xlfn.XLOOKUP(1,
    (INDEX(SFactors,,2)=10^LEFT(A114,1)) *
    (INDEX(SFactors,,3)=(LEN(A114)-LEN(SUBSTITUTE(A114,"_","")))),
    INDEX(SFactors,,4)
)</f>
        <v>#N/A</v>
      </c>
      <c r="AD114" s="3" t="e">
        <f t="array" ref="AD114">_xlfn.XLOOKUP(1,(INDEX(SFactors,,2)=10^LEFT(A114,1))*(INDEX(SFactors,,3)=(LEN(A114)-LEN(SUBSTITUTE(A114,"_","")))),INDEX(SFactors,,5))</f>
        <v>#N/A</v>
      </c>
      <c r="AE114" s="3" t="e">
        <f t="shared" si="7"/>
        <v>#N/A</v>
      </c>
    </row>
    <row r="115" spans="1:3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2"/>
      <c r="Q115" s="3">
        <f t="shared" si="6"/>
        <v>66</v>
      </c>
      <c r="R115" s="36">
        <f t="shared" si="8"/>
        <v>18</v>
      </c>
      <c r="S115"/>
      <c r="AA115" s="2" t="e">
        <f t="array" ref="AA115">_xlfn.XLOOKUP(1,(INDEX(SFactors,,2)=10^LEFT(A115,1))*(INDEX(SFactors,,3)=(LEN(A115)-LEN(SUBSTITUTE(A115,"_","")))),INDEX(SFactors,,4))*PreTenB+(C115-PreTenB)*_xlfn.XLOOKUP(1,(INDEX(SFactors,,2)=10^LEFT(A115,1))*(INDEX(SFactors,,3)=(LEN(A115)-LEN(SUBSTITUTE(A115,"_","")))),INDEX(SFactors,,5))</f>
        <v>#N/A</v>
      </c>
      <c r="AB115" s="25" t="e">
        <f t="shared" si="5"/>
        <v>#N/A</v>
      </c>
      <c r="AC115" s="2" t="e">
        <f t="array" ref="AC115">_xlfn.XLOOKUP(1,
    (INDEX(SFactors,,2)=10^LEFT(A115,1)) *
    (INDEX(SFactors,,3)=(LEN(A115)-LEN(SUBSTITUTE(A115,"_","")))),
    INDEX(SFactors,,4)
)</f>
        <v>#N/A</v>
      </c>
      <c r="AD115" s="3" t="e">
        <f t="array" ref="AD115">_xlfn.XLOOKUP(1,(INDEX(SFactors,,2)=10^LEFT(A115,1))*(INDEX(SFactors,,3)=(LEN(A115)-LEN(SUBSTITUTE(A115,"_","")))),INDEX(SFactors,,5))</f>
        <v>#N/A</v>
      </c>
      <c r="AE115" s="3" t="e">
        <f t="shared" si="7"/>
        <v>#N/A</v>
      </c>
    </row>
    <row r="116" spans="1:3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2"/>
      <c r="Q116" s="3">
        <f t="shared" si="6"/>
        <v>78</v>
      </c>
      <c r="R116" s="36">
        <f t="shared" si="8"/>
        <v>30</v>
      </c>
      <c r="S116"/>
      <c r="AA116" s="2" t="e">
        <f t="array" ref="AA116">_xlfn.XLOOKUP(1,(INDEX(SFactors,,2)=10^LEFT(A116,1))*(INDEX(SFactors,,3)=(LEN(A116)-LEN(SUBSTITUTE(A116,"_","")))),INDEX(SFactors,,4))*PreTenB+(C116-PreTenB)*_xlfn.XLOOKUP(1,(INDEX(SFactors,,2)=10^LEFT(A116,1))*(INDEX(SFactors,,3)=(LEN(A116)-LEN(SUBSTITUTE(A116,"_","")))),INDEX(SFactors,,5))</f>
        <v>#N/A</v>
      </c>
      <c r="AB116" s="25" t="e">
        <f t="shared" si="5"/>
        <v>#N/A</v>
      </c>
      <c r="AC116" s="2" t="e">
        <f t="array" ref="AC116">_xlfn.XLOOKUP(1,
    (INDEX(SFactors,,2)=10^LEFT(A116,1)) *
    (INDEX(SFactors,,3)=(LEN(A116)-LEN(SUBSTITUTE(A116,"_","")))),
    INDEX(SFactors,,4)
)</f>
        <v>#N/A</v>
      </c>
      <c r="AD116" s="3" t="e">
        <f t="array" ref="AD116">_xlfn.XLOOKUP(1,(INDEX(SFactors,,2)=10^LEFT(A116,1))*(INDEX(SFactors,,3)=(LEN(A116)-LEN(SUBSTITUTE(A116,"_","")))),INDEX(SFactors,,5))</f>
        <v>#N/A</v>
      </c>
      <c r="AE116" s="3" t="e">
        <f t="shared" si="7"/>
        <v>#N/A</v>
      </c>
    </row>
    <row r="117" spans="1:3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2"/>
      <c r="Q117" s="3">
        <f t="shared" si="6"/>
        <v>90</v>
      </c>
      <c r="R117" s="36">
        <f t="shared" si="8"/>
        <v>30</v>
      </c>
      <c r="S117"/>
      <c r="AA117" s="2" t="e">
        <f t="array" ref="AA117">_xlfn.XLOOKUP(1,(INDEX(SFactors,,2)=10^LEFT(A117,1))*(INDEX(SFactors,,3)=(LEN(A117)-LEN(SUBSTITUTE(A117,"_","")))),INDEX(SFactors,,4))*PreTenB+(C117-PreTenB)*_xlfn.XLOOKUP(1,(INDEX(SFactors,,2)=10^LEFT(A117,1))*(INDEX(SFactors,,3)=(LEN(A117)-LEN(SUBSTITUTE(A117,"_","")))),INDEX(SFactors,,5))</f>
        <v>#N/A</v>
      </c>
      <c r="AB117" s="25" t="e">
        <f t="shared" si="5"/>
        <v>#N/A</v>
      </c>
      <c r="AC117" s="2" t="e">
        <f t="array" ref="AC117">_xlfn.XLOOKUP(1,
    (INDEX(SFactors,,2)=10^LEFT(A117,1)) *
    (INDEX(SFactors,,3)=(LEN(A117)-LEN(SUBSTITUTE(A117,"_","")))),
    INDEX(SFactors,,4)
)</f>
        <v>#N/A</v>
      </c>
      <c r="AD117" s="3" t="e">
        <f t="array" ref="AD117">_xlfn.XLOOKUP(1,(INDEX(SFactors,,2)=10^LEFT(A117,1))*(INDEX(SFactors,,3)=(LEN(A117)-LEN(SUBSTITUTE(A117,"_","")))),INDEX(SFactors,,5))</f>
        <v>#N/A</v>
      </c>
      <c r="AE117" s="3" t="e">
        <f t="shared" si="7"/>
        <v>#N/A</v>
      </c>
    </row>
    <row r="118" spans="1:3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2"/>
      <c r="Q118" s="3">
        <f t="shared" si="6"/>
        <v>102</v>
      </c>
      <c r="R118" s="36">
        <f t="shared" si="8"/>
        <v>30</v>
      </c>
      <c r="S118"/>
      <c r="AA118" s="2" t="e">
        <f t="array" ref="AA118">_xlfn.XLOOKUP(1,(INDEX(SFactors,,2)=10^LEFT(A118,1))*(INDEX(SFactors,,3)=(LEN(A118)-LEN(SUBSTITUTE(A118,"_","")))),INDEX(SFactors,,4))*PreTenB+(C118-PreTenB)*_xlfn.XLOOKUP(1,(INDEX(SFactors,,2)=10^LEFT(A118,1))*(INDEX(SFactors,,3)=(LEN(A118)-LEN(SUBSTITUTE(A118,"_","")))),INDEX(SFactors,,5))</f>
        <v>#N/A</v>
      </c>
      <c r="AB118" s="25" t="e">
        <f t="shared" si="5"/>
        <v>#N/A</v>
      </c>
      <c r="AC118" s="2" t="e">
        <f t="array" ref="AC118">_xlfn.XLOOKUP(1,
    (INDEX(SFactors,,2)=10^LEFT(A118,1)) *
    (INDEX(SFactors,,3)=(LEN(A118)-LEN(SUBSTITUTE(A118,"_","")))),
    INDEX(SFactors,,4)
)</f>
        <v>#N/A</v>
      </c>
      <c r="AD118" s="3" t="e">
        <f t="array" ref="AD118">_xlfn.XLOOKUP(1,(INDEX(SFactors,,2)=10^LEFT(A118,1))*(INDEX(SFactors,,3)=(LEN(A118)-LEN(SUBSTITUTE(A118,"_","")))),INDEX(SFactors,,5))</f>
        <v>#N/A</v>
      </c>
      <c r="AE118" s="3" t="e">
        <f t="shared" si="7"/>
        <v>#N/A</v>
      </c>
    </row>
    <row r="119" spans="1:3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"/>
      <c r="Q119" s="3">
        <f t="shared" si="6"/>
        <v>114</v>
      </c>
      <c r="R119" s="36">
        <f t="shared" si="8"/>
        <v>42</v>
      </c>
      <c r="S119"/>
      <c r="AA119" s="2" t="e">
        <f t="array" ref="AA119">_xlfn.XLOOKUP(1,(INDEX(SFactors,,2)=10^LEFT(A119,1))*(INDEX(SFactors,,3)=(LEN(A119)-LEN(SUBSTITUTE(A119,"_","")))),INDEX(SFactors,,4))*PreTenB+(C119-PreTenB)*_xlfn.XLOOKUP(1,(INDEX(SFactors,,2)=10^LEFT(A119,1))*(INDEX(SFactors,,3)=(LEN(A119)-LEN(SUBSTITUTE(A119,"_","")))),INDEX(SFactors,,5))</f>
        <v>#N/A</v>
      </c>
      <c r="AB119" s="25" t="e">
        <f t="shared" si="5"/>
        <v>#N/A</v>
      </c>
      <c r="AC119" s="2" t="e">
        <f t="array" ref="AC119">_xlfn.XLOOKUP(1,
    (INDEX(SFactors,,2)=10^LEFT(A119,1)) *
    (INDEX(SFactors,,3)=(LEN(A119)-LEN(SUBSTITUTE(A119,"_","")))),
    INDEX(SFactors,,4)
)</f>
        <v>#N/A</v>
      </c>
      <c r="AD119" s="3" t="e">
        <f t="array" ref="AD119">_xlfn.XLOOKUP(1,(INDEX(SFactors,,2)=10^LEFT(A119,1))*(INDEX(SFactors,,3)=(LEN(A119)-LEN(SUBSTITUTE(A119,"_","")))),INDEX(SFactors,,5))</f>
        <v>#N/A</v>
      </c>
      <c r="AE119" s="3" t="e">
        <f t="shared" si="7"/>
        <v>#N/A</v>
      </c>
    </row>
    <row r="120" spans="1:3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"/>
      <c r="Q120" s="3">
        <f t="shared" si="6"/>
        <v>126</v>
      </c>
      <c r="R120" s="36">
        <f t="shared" si="8"/>
        <v>42</v>
      </c>
      <c r="S120"/>
      <c r="AA120" s="2" t="e">
        <f t="array" ref="AA120">_xlfn.XLOOKUP(1,(INDEX(SFactors,,2)=10^LEFT(A120,1))*(INDEX(SFactors,,3)=(LEN(A120)-LEN(SUBSTITUTE(A120,"_","")))),INDEX(SFactors,,4))*PreTenB+(C120-PreTenB)*_xlfn.XLOOKUP(1,(INDEX(SFactors,,2)=10^LEFT(A120,1))*(INDEX(SFactors,,3)=(LEN(A120)-LEN(SUBSTITUTE(A120,"_","")))),INDEX(SFactors,,5))</f>
        <v>#N/A</v>
      </c>
      <c r="AB120" s="25" t="e">
        <f t="shared" si="5"/>
        <v>#N/A</v>
      </c>
      <c r="AC120" s="2" t="e">
        <f t="array" ref="AC120">_xlfn.XLOOKUP(1,
    (INDEX(SFactors,,2)=10^LEFT(A120,1)) *
    (INDEX(SFactors,,3)=(LEN(A120)-LEN(SUBSTITUTE(A120,"_","")))),
    INDEX(SFactors,,4)
)</f>
        <v>#N/A</v>
      </c>
      <c r="AD120" s="3" t="e">
        <f t="array" ref="AD120">_xlfn.XLOOKUP(1,(INDEX(SFactors,,2)=10^LEFT(A120,1))*(INDEX(SFactors,,3)=(LEN(A120)-LEN(SUBSTITUTE(A120,"_","")))),INDEX(SFactors,,5))</f>
        <v>#N/A</v>
      </c>
      <c r="AE120" s="3" t="e">
        <f t="shared" si="7"/>
        <v>#N/A</v>
      </c>
    </row>
    <row r="121" spans="1:3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2"/>
      <c r="Q121" s="3">
        <f t="shared" si="6"/>
        <v>138</v>
      </c>
      <c r="R121" s="36">
        <f t="shared" si="8"/>
        <v>42</v>
      </c>
      <c r="S121"/>
      <c r="AA121" s="2" t="e">
        <f t="array" ref="AA121">_xlfn.XLOOKUP(1,(INDEX(SFactors,,2)=10^LEFT(A121,1))*(INDEX(SFactors,,3)=(LEN(A121)-LEN(SUBSTITUTE(A121,"_","")))),INDEX(SFactors,,4))*PreTenB+(C121-PreTenB)*_xlfn.XLOOKUP(1,(INDEX(SFactors,,2)=10^LEFT(A121,1))*(INDEX(SFactors,,3)=(LEN(A121)-LEN(SUBSTITUTE(A121,"_","")))),INDEX(SFactors,,5))</f>
        <v>#N/A</v>
      </c>
      <c r="AB121" s="25" t="e">
        <f t="shared" si="5"/>
        <v>#N/A</v>
      </c>
      <c r="AC121" s="2" t="e">
        <f t="array" ref="AC121">_xlfn.XLOOKUP(1,
    (INDEX(SFactors,,2)=10^LEFT(A121,1)) *
    (INDEX(SFactors,,3)=(LEN(A121)-LEN(SUBSTITUTE(A121,"_","")))),
    INDEX(SFactors,,4)
)</f>
        <v>#N/A</v>
      </c>
      <c r="AD121" s="3" t="e">
        <f t="array" ref="AD121">_xlfn.XLOOKUP(1,(INDEX(SFactors,,2)=10^LEFT(A121,1))*(INDEX(SFactors,,3)=(LEN(A121)-LEN(SUBSTITUTE(A121,"_","")))),INDEX(SFactors,,5))</f>
        <v>#N/A</v>
      </c>
      <c r="AE121" s="3" t="e">
        <f t="shared" si="7"/>
        <v>#N/A</v>
      </c>
    </row>
    <row r="122" spans="1:3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2"/>
      <c r="Q122" s="3">
        <f t="shared" si="6"/>
        <v>150</v>
      </c>
      <c r="R122" s="36">
        <f t="shared" si="8"/>
        <v>54</v>
      </c>
      <c r="S122"/>
      <c r="AA122" s="2" t="e">
        <f t="array" ref="AA122">_xlfn.XLOOKUP(1,(INDEX(SFactors,,2)=10^LEFT(A122,1))*(INDEX(SFactors,,3)=(LEN(A122)-LEN(SUBSTITUTE(A122,"_","")))),INDEX(SFactors,,4))*PreTenB+(C122-PreTenB)*_xlfn.XLOOKUP(1,(INDEX(SFactors,,2)=10^LEFT(A122,1))*(INDEX(SFactors,,3)=(LEN(A122)-LEN(SUBSTITUTE(A122,"_","")))),INDEX(SFactors,,5))</f>
        <v>#N/A</v>
      </c>
      <c r="AB122" s="25" t="e">
        <f t="shared" si="5"/>
        <v>#N/A</v>
      </c>
      <c r="AC122" s="2" t="e">
        <f t="array" ref="AC122">_xlfn.XLOOKUP(1,
    (INDEX(SFactors,,2)=10^LEFT(A122,1)) *
    (INDEX(SFactors,,3)=(LEN(A122)-LEN(SUBSTITUTE(A122,"_","")))),
    INDEX(SFactors,,4)
)</f>
        <v>#N/A</v>
      </c>
      <c r="AD122" s="3" t="e">
        <f t="array" ref="AD122">_xlfn.XLOOKUP(1,(INDEX(SFactors,,2)=10^LEFT(A122,1))*(INDEX(SFactors,,3)=(LEN(A122)-LEN(SUBSTITUTE(A122,"_","")))),INDEX(SFactors,,5))</f>
        <v>#N/A</v>
      </c>
      <c r="AE122" s="3" t="e">
        <f t="shared" si="7"/>
        <v>#N/A</v>
      </c>
    </row>
    <row r="123" spans="1:3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2"/>
      <c r="Q123" s="3">
        <f t="shared" si="6"/>
        <v>162</v>
      </c>
      <c r="R123" s="36">
        <f t="shared" si="8"/>
        <v>54</v>
      </c>
      <c r="S123"/>
      <c r="AA123" s="2" t="e">
        <f t="array" ref="AA123">_xlfn.XLOOKUP(1,(INDEX(SFactors,,2)=10^LEFT(A123,1))*(INDEX(SFactors,,3)=(LEN(A123)-LEN(SUBSTITUTE(A123,"_","")))),INDEX(SFactors,,4))*PreTenB+(C123-PreTenB)*_xlfn.XLOOKUP(1,(INDEX(SFactors,,2)=10^LEFT(A123,1))*(INDEX(SFactors,,3)=(LEN(A123)-LEN(SUBSTITUTE(A123,"_","")))),INDEX(SFactors,,5))</f>
        <v>#N/A</v>
      </c>
      <c r="AB123" s="25" t="e">
        <f t="shared" si="5"/>
        <v>#N/A</v>
      </c>
      <c r="AC123" s="2" t="e">
        <f t="array" ref="AC123">_xlfn.XLOOKUP(1,
    (INDEX(SFactors,,2)=10^LEFT(A123,1)) *
    (INDEX(SFactors,,3)=(LEN(A123)-LEN(SUBSTITUTE(A123,"_","")))),
    INDEX(SFactors,,4)
)</f>
        <v>#N/A</v>
      </c>
      <c r="AD123" s="3" t="e">
        <f t="array" ref="AD123">_xlfn.XLOOKUP(1,(INDEX(SFactors,,2)=10^LEFT(A123,1))*(INDEX(SFactors,,3)=(LEN(A123)-LEN(SUBSTITUTE(A123,"_","")))),INDEX(SFactors,,5))</f>
        <v>#N/A</v>
      </c>
      <c r="AE123" s="3" t="e">
        <f t="shared" si="7"/>
        <v>#N/A</v>
      </c>
    </row>
    <row r="124" spans="1:3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2"/>
      <c r="Q124" s="3">
        <f t="shared" si="6"/>
        <v>174</v>
      </c>
      <c r="R124" s="36">
        <f t="shared" si="8"/>
        <v>54</v>
      </c>
      <c r="S124"/>
      <c r="AA124" s="2" t="e">
        <f t="array" ref="AA124">_xlfn.XLOOKUP(1,(INDEX(SFactors,,2)=10^LEFT(A124,1))*(INDEX(SFactors,,3)=(LEN(A124)-LEN(SUBSTITUTE(A124,"_","")))),INDEX(SFactors,,4))*PreTenB+(C124-PreTenB)*_xlfn.XLOOKUP(1,(INDEX(SFactors,,2)=10^LEFT(A124,1))*(INDEX(SFactors,,3)=(LEN(A124)-LEN(SUBSTITUTE(A124,"_","")))),INDEX(SFactors,,5))</f>
        <v>#N/A</v>
      </c>
      <c r="AB124" s="25" t="e">
        <f t="shared" si="5"/>
        <v>#N/A</v>
      </c>
      <c r="AC124" s="2" t="e">
        <f t="array" ref="AC124">_xlfn.XLOOKUP(1,
    (INDEX(SFactors,,2)=10^LEFT(A124,1)) *
    (INDEX(SFactors,,3)=(LEN(A124)-LEN(SUBSTITUTE(A124,"_","")))),
    INDEX(SFactors,,4)
)</f>
        <v>#N/A</v>
      </c>
      <c r="AD124" s="3" t="e">
        <f t="array" ref="AD124">_xlfn.XLOOKUP(1,(INDEX(SFactors,,2)=10^LEFT(A124,1))*(INDEX(SFactors,,3)=(LEN(A124)-LEN(SUBSTITUTE(A124,"_","")))),INDEX(SFactors,,5))</f>
        <v>#N/A</v>
      </c>
      <c r="AE124" s="3" t="e">
        <f t="shared" si="7"/>
        <v>#N/A</v>
      </c>
    </row>
    <row r="125" spans="1:3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2"/>
      <c r="Q125" s="3">
        <f t="shared" si="6"/>
        <v>186</v>
      </c>
      <c r="R125" s="36">
        <f t="shared" si="8"/>
        <v>66</v>
      </c>
      <c r="S125"/>
      <c r="AA125" s="2" t="e">
        <f t="array" ref="AA125">_xlfn.XLOOKUP(1,(INDEX(SFactors,,2)=10^LEFT(A125,1))*(INDEX(SFactors,,3)=(LEN(A125)-LEN(SUBSTITUTE(A125,"_","")))),INDEX(SFactors,,4))*PreTenB+(C125-PreTenB)*_xlfn.XLOOKUP(1,(INDEX(SFactors,,2)=10^LEFT(A125,1))*(INDEX(SFactors,,3)=(LEN(A125)-LEN(SUBSTITUTE(A125,"_","")))),INDEX(SFactors,,5))</f>
        <v>#N/A</v>
      </c>
      <c r="AB125" s="25" t="e">
        <f t="shared" ref="AB125" si="13">AA125/MBL</f>
        <v>#N/A</v>
      </c>
      <c r="AC125" s="2" t="e">
        <f t="array" ref="AC125">_xlfn.XLOOKUP(1,
    (INDEX(SFactors,,2)=10^LEFT(A125,1)) *
    (INDEX(SFactors,,3)=(LEN(A125)-LEN(SUBSTITUTE(A125,"_","")))),
    INDEX(SFactors,,4)
)</f>
        <v>#N/A</v>
      </c>
      <c r="AD125" s="3" t="e">
        <f t="array" ref="AD125">_xlfn.XLOOKUP(1,(INDEX(SFactors,,2)=10^LEFT(A125,1))*(INDEX(SFactors,,3)=(LEN(A125)-LEN(SUBSTITUTE(A125,"_","")))),INDEX(SFactors,,5))</f>
        <v>#N/A</v>
      </c>
      <c r="AE125" s="3" t="e">
        <f t="shared" si="7"/>
        <v>#N/A</v>
      </c>
    </row>
    <row r="126" spans="1:3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2"/>
      <c r="Q126" s="3">
        <f t="shared" si="6"/>
        <v>198</v>
      </c>
      <c r="R126" s="36">
        <f t="shared" si="8"/>
        <v>66</v>
      </c>
      <c r="S126"/>
      <c r="AA126" s="2" t="e">
        <f t="array" ref="AA126">_xlfn.XLOOKUP(1,(INDEX(SFactors,,2)=10^LEFT(A126,1))*(INDEX(SFactors,,3)=(LEN(A126)-LEN(SUBSTITUTE(A126,"_","")))),INDEX(SFactors,,4))*PreTenB+(C126-PreTenB)*_xlfn.XLOOKUP(1,(INDEX(SFactors,,2)=10^LEFT(A126,1))*(INDEX(SFactors,,3)=(LEN(A126)-LEN(SUBSTITUTE(A126,"_","")))),INDEX(SFactors,,5))</f>
        <v>#N/A</v>
      </c>
      <c r="AB126" s="25" t="e">
        <f t="shared" si="5"/>
        <v>#N/A</v>
      </c>
      <c r="AC126" s="2" t="e">
        <f t="array" ref="AC126">_xlfn.XLOOKUP(1,
    (INDEX(SFactors,,2)=10^LEFT(A126,1)) *
    (INDEX(SFactors,,3)=(LEN(A126)-LEN(SUBSTITUTE(A126,"_","")))),
    INDEX(SFactors,,4)
)</f>
        <v>#N/A</v>
      </c>
      <c r="AD126" s="3" t="e">
        <f t="array" ref="AD126">_xlfn.XLOOKUP(1,(INDEX(SFactors,,2)=10^LEFT(A126,1))*(INDEX(SFactors,,3)=(LEN(A126)-LEN(SUBSTITUTE(A126,"_","")))),INDEX(SFactors,,5))</f>
        <v>#N/A</v>
      </c>
      <c r="AE126" s="3" t="e">
        <f t="shared" si="7"/>
        <v>#N/A</v>
      </c>
    </row>
    <row r="127" spans="1:3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2"/>
      <c r="Q127" s="3">
        <f t="shared" si="6"/>
        <v>210</v>
      </c>
      <c r="R127" s="36">
        <f t="shared" si="8"/>
        <v>66</v>
      </c>
      <c r="S127"/>
      <c r="AA127" s="2" t="e">
        <f t="array" ref="AA127">_xlfn.XLOOKUP(1,(INDEX(SFactors,,2)=10^LEFT(A127,1))*(INDEX(SFactors,,3)=(LEN(A127)-LEN(SUBSTITUTE(A127,"_","")))),INDEX(SFactors,,4))*PreTenB+(C127-PreTenB)*_xlfn.XLOOKUP(1,(INDEX(SFactors,,2)=10^LEFT(A127,1))*(INDEX(SFactors,,3)=(LEN(A127)-LEN(SUBSTITUTE(A127,"_","")))),INDEX(SFactors,,5))</f>
        <v>#N/A</v>
      </c>
      <c r="AB127" s="25" t="e">
        <f t="shared" si="5"/>
        <v>#N/A</v>
      </c>
      <c r="AC127" s="2" t="e">
        <f t="array" ref="AC127">_xlfn.XLOOKUP(1,
    (INDEX(SFactors,,2)=10^LEFT(A127,1)) *
    (INDEX(SFactors,,3)=(LEN(A127)-LEN(SUBSTITUTE(A127,"_","")))),
    INDEX(SFactors,,4)
)</f>
        <v>#N/A</v>
      </c>
      <c r="AD127" s="3" t="e">
        <f t="array" ref="AD127">_xlfn.XLOOKUP(1,(INDEX(SFactors,,2)=10^LEFT(A127,1))*(INDEX(SFactors,,3)=(LEN(A127)-LEN(SUBSTITUTE(A127,"_","")))),INDEX(SFactors,,5))</f>
        <v>#N/A</v>
      </c>
      <c r="AE127" s="3" t="e">
        <f t="shared" si="7"/>
        <v>#N/A</v>
      </c>
    </row>
    <row r="128" spans="1:3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2"/>
      <c r="Q128" s="3">
        <f t="shared" si="6"/>
        <v>222</v>
      </c>
      <c r="R128" s="36">
        <f t="shared" si="8"/>
        <v>78</v>
      </c>
      <c r="S128"/>
      <c r="AA128" s="2" t="e">
        <f t="array" ref="AA128">_xlfn.XLOOKUP(1,(INDEX(SFactors,,2)=10^LEFT(A128,1))*(INDEX(SFactors,,3)=(LEN(A128)-LEN(SUBSTITUTE(A128,"_","")))),INDEX(SFactors,,4))*PreTenB+(C128-PreTenB)*_xlfn.XLOOKUP(1,(INDEX(SFactors,,2)=10^LEFT(A128,1))*(INDEX(SFactors,,3)=(LEN(A128)-LEN(SUBSTITUTE(A128,"_","")))),INDEX(SFactors,,5))</f>
        <v>#N/A</v>
      </c>
      <c r="AB128" s="25" t="e">
        <f t="shared" si="5"/>
        <v>#N/A</v>
      </c>
      <c r="AC128" s="2" t="e">
        <f t="array" ref="AC128">_xlfn.XLOOKUP(1,
    (INDEX(SFactors,,2)=10^LEFT(A128,1)) *
    (INDEX(SFactors,,3)=(LEN(A128)-LEN(SUBSTITUTE(A128,"_","")))),
    INDEX(SFactors,,4)
)</f>
        <v>#N/A</v>
      </c>
      <c r="AD128" s="3" t="e">
        <f t="array" ref="AD128">_xlfn.XLOOKUP(1,(INDEX(SFactors,,2)=10^LEFT(A128,1))*(INDEX(SFactors,,3)=(LEN(A128)-LEN(SUBSTITUTE(A128,"_","")))),INDEX(SFactors,,5))</f>
        <v>#N/A</v>
      </c>
      <c r="AE128" s="3" t="e">
        <f t="shared" si="7"/>
        <v>#N/A</v>
      </c>
    </row>
    <row r="129" spans="1:3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2"/>
      <c r="Q129" s="3">
        <f t="shared" si="6"/>
        <v>234</v>
      </c>
      <c r="R129" s="36">
        <f t="shared" si="8"/>
        <v>78</v>
      </c>
      <c r="S129"/>
      <c r="AA129" s="2" t="e">
        <f t="array" ref="AA129">_xlfn.XLOOKUP(1,(INDEX(SFactors,,2)=10^LEFT(A129,1))*(INDEX(SFactors,,3)=(LEN(A129)-LEN(SUBSTITUTE(A129,"_","")))),INDEX(SFactors,,4))*PreTenB+(C129-PreTenB)*_xlfn.XLOOKUP(1,(INDEX(SFactors,,2)=10^LEFT(A129,1))*(INDEX(SFactors,,3)=(LEN(A129)-LEN(SUBSTITUTE(A129,"_","")))),INDEX(SFactors,,5))</f>
        <v>#N/A</v>
      </c>
      <c r="AB129" s="25" t="e">
        <f t="shared" si="5"/>
        <v>#N/A</v>
      </c>
      <c r="AC129" s="2" t="e">
        <f t="array" ref="AC129">_xlfn.XLOOKUP(1,
    (INDEX(SFactors,,2)=10^LEFT(A129,1)) *
    (INDEX(SFactors,,3)=(LEN(A129)-LEN(SUBSTITUTE(A129,"_","")))),
    INDEX(SFactors,,4)
)</f>
        <v>#N/A</v>
      </c>
      <c r="AD129" s="3" t="e">
        <f t="array" ref="AD129">_xlfn.XLOOKUP(1,(INDEX(SFactors,,2)=10^LEFT(A129,1))*(INDEX(SFactors,,3)=(LEN(A129)-LEN(SUBSTITUTE(A129,"_","")))),INDEX(SFactors,,5))</f>
        <v>#N/A</v>
      </c>
      <c r="AE129" s="3" t="e">
        <f t="shared" si="7"/>
        <v>#N/A</v>
      </c>
    </row>
    <row r="130" spans="1:3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2"/>
      <c r="Q130" s="3">
        <f t="shared" si="6"/>
        <v>246</v>
      </c>
      <c r="R130" s="36">
        <f t="shared" si="8"/>
        <v>78</v>
      </c>
      <c r="S130"/>
      <c r="AA130" s="2" t="e">
        <f t="array" ref="AA130">_xlfn.XLOOKUP(1,(INDEX(SFactors,,2)=10^LEFT(A130,1))*(INDEX(SFactors,,3)=(LEN(A130)-LEN(SUBSTITUTE(A130,"_","")))),INDEX(SFactors,,4))*PreTenB+(C130-PreTenB)*_xlfn.XLOOKUP(1,(INDEX(SFactors,,2)=10^LEFT(A130,1))*(INDEX(SFactors,,3)=(LEN(A130)-LEN(SUBSTITUTE(A130,"_","")))),INDEX(SFactors,,5))</f>
        <v>#N/A</v>
      </c>
      <c r="AB130" s="25" t="e">
        <f t="shared" si="5"/>
        <v>#N/A</v>
      </c>
      <c r="AC130" s="2" t="e">
        <f t="array" ref="AC130">_xlfn.XLOOKUP(1,
    (INDEX(SFactors,,2)=10^LEFT(A130,1)) *
    (INDEX(SFactors,,3)=(LEN(A130)-LEN(SUBSTITUTE(A130,"_","")))),
    INDEX(SFactors,,4)
)</f>
        <v>#N/A</v>
      </c>
      <c r="AD130" s="3" t="e">
        <f t="array" ref="AD130">_xlfn.XLOOKUP(1,(INDEX(SFactors,,2)=10^LEFT(A130,1))*(INDEX(SFactors,,3)=(LEN(A130)-LEN(SUBSTITUTE(A130,"_","")))),INDEX(SFactors,,5))</f>
        <v>#N/A</v>
      </c>
      <c r="AE130" s="3" t="e">
        <f t="shared" si="7"/>
        <v>#N/A</v>
      </c>
    </row>
    <row r="131" spans="1:3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2"/>
      <c r="Q131" s="3">
        <f t="shared" si="6"/>
        <v>7</v>
      </c>
      <c r="R131" s="36">
        <f t="shared" si="8"/>
        <v>7</v>
      </c>
      <c r="S131"/>
      <c r="AA131" s="2" t="e">
        <f t="array" ref="AA131">_xlfn.XLOOKUP(1,(INDEX(SFactors,,2)=10^LEFT(A131,1))*(INDEX(SFactors,,3)=(LEN(A131)-LEN(SUBSTITUTE(A131,"_","")))),INDEX(SFactors,,4))*PreTenB+(C131-PreTenB)*_xlfn.XLOOKUP(1,(INDEX(SFactors,,2)=10^LEFT(A131,1))*(INDEX(SFactors,,3)=(LEN(A131)-LEN(SUBSTITUTE(A131,"_","")))),INDEX(SFactors,,5))</f>
        <v>#N/A</v>
      </c>
      <c r="AB131" s="25" t="e">
        <f t="shared" si="5"/>
        <v>#N/A</v>
      </c>
      <c r="AC131" s="2" t="e">
        <f t="array" ref="AC131">_xlfn.XLOOKUP(1,
    (INDEX(SFactors,,2)=10^LEFT(A131,1)) *
    (INDEX(SFactors,,3)=(LEN(A131)-LEN(SUBSTITUTE(A131,"_","")))),
    INDEX(SFactors,,4)
)</f>
        <v>#N/A</v>
      </c>
      <c r="AD131" s="3" t="e">
        <f t="array" ref="AD131">_xlfn.XLOOKUP(1,(INDEX(SFactors,,2)=10^LEFT(A131,1))*(INDEX(SFactors,,3)=(LEN(A131)-LEN(SUBSTITUTE(A131,"_","")))),INDEX(SFactors,,5))</f>
        <v>#N/A</v>
      </c>
      <c r="AE131" s="3" t="e">
        <f t="shared" si="7"/>
        <v>#N/A</v>
      </c>
    </row>
    <row r="132" spans="1:3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2"/>
      <c r="Q132" s="3">
        <f t="shared" si="6"/>
        <v>19</v>
      </c>
      <c r="R132" s="36">
        <f t="shared" si="8"/>
        <v>7</v>
      </c>
      <c r="S132"/>
      <c r="AA132" s="2" t="e">
        <f t="array" ref="AA132">_xlfn.XLOOKUP(1,(INDEX(SFactors,,2)=10^LEFT(A132,1))*(INDEX(SFactors,,3)=(LEN(A132)-LEN(SUBSTITUTE(A132,"_","")))),INDEX(SFactors,,4))*PreTenB+(C132-PreTenB)*_xlfn.XLOOKUP(1,(INDEX(SFactors,,2)=10^LEFT(A132,1))*(INDEX(SFactors,,3)=(LEN(A132)-LEN(SUBSTITUTE(A132,"_","")))),INDEX(SFactors,,5))</f>
        <v>#N/A</v>
      </c>
      <c r="AB132" s="25" t="e">
        <f t="shared" si="5"/>
        <v>#N/A</v>
      </c>
      <c r="AC132" s="2" t="e">
        <f t="array" ref="AC132">_xlfn.XLOOKUP(1,
    (INDEX(SFactors,,2)=10^LEFT(A132,1)) *
    (INDEX(SFactors,,3)=(LEN(A132)-LEN(SUBSTITUTE(A132,"_","")))),
    INDEX(SFactors,,4)
)</f>
        <v>#N/A</v>
      </c>
      <c r="AD132" s="3" t="e">
        <f t="array" ref="AD132">_xlfn.XLOOKUP(1,(INDEX(SFactors,,2)=10^LEFT(A132,1))*(INDEX(SFactors,,3)=(LEN(A132)-LEN(SUBSTITUTE(A132,"_","")))),INDEX(SFactors,,5))</f>
        <v>#N/A</v>
      </c>
      <c r="AE132" s="3" t="e">
        <f t="shared" si="7"/>
        <v>#N/A</v>
      </c>
    </row>
    <row r="133" spans="1:3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2"/>
      <c r="Q133" s="3">
        <f t="shared" ref="Q133:Q196" si="14">MOD(ROW()-5,nSD)*12+INT((ROW()-5)/nSD)+1</f>
        <v>31</v>
      </c>
      <c r="R133" s="36">
        <f t="shared" si="8"/>
        <v>7</v>
      </c>
      <c r="S133"/>
      <c r="AA133" s="2" t="e">
        <f t="array" ref="AA133">_xlfn.XLOOKUP(1,(INDEX(SFactors,,2)=10^LEFT(A133,1))*(INDEX(SFactors,,3)=(LEN(A133)-LEN(SUBSTITUTE(A133,"_","")))),INDEX(SFactors,,4))*PreTenB+(C133-PreTenB)*_xlfn.XLOOKUP(1,(INDEX(SFactors,,2)=10^LEFT(A133,1))*(INDEX(SFactors,,3)=(LEN(A133)-LEN(SUBSTITUTE(A133,"_","")))),INDEX(SFactors,,5))</f>
        <v>#N/A</v>
      </c>
      <c r="AB133" s="25" t="e">
        <f t="shared" si="5"/>
        <v>#N/A</v>
      </c>
      <c r="AC133" s="2" t="e">
        <f t="array" ref="AC133">_xlfn.XLOOKUP(1,
    (INDEX(SFactors,,2)=10^LEFT(A133,1)) *
    (INDEX(SFactors,,3)=(LEN(A133)-LEN(SUBSTITUTE(A133,"_","")))),
    INDEX(SFactors,,4)
)</f>
        <v>#N/A</v>
      </c>
      <c r="AD133" s="3" t="e">
        <f t="array" ref="AD133">_xlfn.XLOOKUP(1,(INDEX(SFactors,,2)=10^LEFT(A133,1))*(INDEX(SFactors,,3)=(LEN(A133)-LEN(SUBSTITUTE(A133,"_","")))),INDEX(SFactors,,5))</f>
        <v>#N/A</v>
      </c>
      <c r="AE133" s="3" t="e">
        <f t="shared" ref="AE133:AE196" si="15">PreTenB*AC133+(C133-PreTenB)*AD133</f>
        <v>#N/A</v>
      </c>
    </row>
    <row r="134" spans="1:3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2"/>
      <c r="Q134" s="3">
        <f t="shared" si="14"/>
        <v>43</v>
      </c>
      <c r="R134" s="36">
        <f t="shared" ref="R134:R197" si="16">MOD(INT((ROW()-5)/3),7)*12+INT((ROW()-5)/(nSD))+1</f>
        <v>19</v>
      </c>
      <c r="S134"/>
      <c r="AA134" s="2" t="e">
        <f t="array" ref="AA134">_xlfn.XLOOKUP(1,(INDEX(SFactors,,2)=10^LEFT(A134,1))*(INDEX(SFactors,,3)=(LEN(A134)-LEN(SUBSTITUTE(A134,"_","")))),INDEX(SFactors,,4))*PreTenB+(C134-PreTenB)*_xlfn.XLOOKUP(1,(INDEX(SFactors,,2)=10^LEFT(A134,1))*(INDEX(SFactors,,3)=(LEN(A134)-LEN(SUBSTITUTE(A134,"_","")))),INDEX(SFactors,,5))</f>
        <v>#N/A</v>
      </c>
      <c r="AB134" s="25" t="e">
        <f t="shared" si="5"/>
        <v>#N/A</v>
      </c>
      <c r="AC134" s="2" t="e">
        <f t="array" ref="AC134">_xlfn.XLOOKUP(1,
    (INDEX(SFactors,,2)=10^LEFT(A134,1)) *
    (INDEX(SFactors,,3)=(LEN(A134)-LEN(SUBSTITUTE(A134,"_","")))),
    INDEX(SFactors,,4)
)</f>
        <v>#N/A</v>
      </c>
      <c r="AD134" s="3" t="e">
        <f t="array" ref="AD134">_xlfn.XLOOKUP(1,(INDEX(SFactors,,2)=10^LEFT(A134,1))*(INDEX(SFactors,,3)=(LEN(A134)-LEN(SUBSTITUTE(A134,"_","")))),INDEX(SFactors,,5))</f>
        <v>#N/A</v>
      </c>
      <c r="AE134" s="3" t="e">
        <f t="shared" si="15"/>
        <v>#N/A</v>
      </c>
    </row>
    <row r="135" spans="1:3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2"/>
      <c r="Q135" s="3">
        <f t="shared" si="14"/>
        <v>55</v>
      </c>
      <c r="R135" s="36">
        <f t="shared" si="16"/>
        <v>19</v>
      </c>
      <c r="S135"/>
      <c r="AA135" s="2" t="e">
        <f t="array" ref="AA135">_xlfn.XLOOKUP(1,(INDEX(SFactors,,2)=10^LEFT(A135,1))*(INDEX(SFactors,,3)=(LEN(A135)-LEN(SUBSTITUTE(A135,"_","")))),INDEX(SFactors,,4))*PreTenB+(C135-PreTenB)*_xlfn.XLOOKUP(1,(INDEX(SFactors,,2)=10^LEFT(A135,1))*(INDEX(SFactors,,3)=(LEN(A135)-LEN(SUBSTITUTE(A135,"_","")))),INDEX(SFactors,,5))</f>
        <v>#N/A</v>
      </c>
      <c r="AB135" s="25" t="e">
        <f t="shared" si="5"/>
        <v>#N/A</v>
      </c>
      <c r="AC135" s="2" t="e">
        <f t="array" ref="AC135">_xlfn.XLOOKUP(1,
    (INDEX(SFactors,,2)=10^LEFT(A135,1)) *
    (INDEX(SFactors,,3)=(LEN(A135)-LEN(SUBSTITUTE(A135,"_","")))),
    INDEX(SFactors,,4)
)</f>
        <v>#N/A</v>
      </c>
      <c r="AD135" s="3" t="e">
        <f t="array" ref="AD135">_xlfn.XLOOKUP(1,(INDEX(SFactors,,2)=10^LEFT(A135,1))*(INDEX(SFactors,,3)=(LEN(A135)-LEN(SUBSTITUTE(A135,"_","")))),INDEX(SFactors,,5))</f>
        <v>#N/A</v>
      </c>
      <c r="AE135" s="3" t="e">
        <f t="shared" si="15"/>
        <v>#N/A</v>
      </c>
    </row>
    <row r="136" spans="1:3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2"/>
      <c r="Q136" s="3">
        <f t="shared" si="14"/>
        <v>67</v>
      </c>
      <c r="R136" s="36">
        <f t="shared" si="16"/>
        <v>19</v>
      </c>
      <c r="S136"/>
      <c r="AA136" s="2" t="e">
        <f t="array" ref="AA136">_xlfn.XLOOKUP(1,(INDEX(SFactors,,2)=10^LEFT(A136,1))*(INDEX(SFactors,,3)=(LEN(A136)-LEN(SUBSTITUTE(A136,"_","")))),INDEX(SFactors,,4))*PreTenB+(C136-PreTenB)*_xlfn.XLOOKUP(1,(INDEX(SFactors,,2)=10^LEFT(A136,1))*(INDEX(SFactors,,3)=(LEN(A136)-LEN(SUBSTITUTE(A136,"_","")))),INDEX(SFactors,,5))</f>
        <v>#N/A</v>
      </c>
      <c r="AB136" s="25" t="e">
        <f t="shared" si="5"/>
        <v>#N/A</v>
      </c>
      <c r="AC136" s="2" t="e">
        <f t="array" ref="AC136">_xlfn.XLOOKUP(1,
    (INDEX(SFactors,,2)=10^LEFT(A136,1)) *
    (INDEX(SFactors,,3)=(LEN(A136)-LEN(SUBSTITUTE(A136,"_","")))),
    INDEX(SFactors,,4)
)</f>
        <v>#N/A</v>
      </c>
      <c r="AD136" s="3" t="e">
        <f t="array" ref="AD136">_xlfn.XLOOKUP(1,(INDEX(SFactors,,2)=10^LEFT(A136,1))*(INDEX(SFactors,,3)=(LEN(A136)-LEN(SUBSTITUTE(A136,"_","")))),INDEX(SFactors,,5))</f>
        <v>#N/A</v>
      </c>
      <c r="AE136" s="3" t="e">
        <f t="shared" si="15"/>
        <v>#N/A</v>
      </c>
    </row>
    <row r="137" spans="1:3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2"/>
      <c r="Q137" s="3">
        <f t="shared" si="14"/>
        <v>79</v>
      </c>
      <c r="R137" s="36">
        <f t="shared" si="16"/>
        <v>31</v>
      </c>
      <c r="S137"/>
      <c r="AA137" s="2" t="e">
        <f t="array" ref="AA137">_xlfn.XLOOKUP(1,(INDEX(SFactors,,2)=10^LEFT(A137,1))*(INDEX(SFactors,,3)=(LEN(A137)-LEN(SUBSTITUTE(A137,"_","")))),INDEX(SFactors,,4))*PreTenB+(C137-PreTenB)*_xlfn.XLOOKUP(1,(INDEX(SFactors,,2)=10^LEFT(A137,1))*(INDEX(SFactors,,3)=(LEN(A137)-LEN(SUBSTITUTE(A137,"_","")))),INDEX(SFactors,,5))</f>
        <v>#N/A</v>
      </c>
      <c r="AB137" s="25" t="e">
        <f t="shared" ref="AB137" si="17">AA137/MBL</f>
        <v>#N/A</v>
      </c>
      <c r="AC137" s="2" t="e">
        <f t="array" ref="AC137">_xlfn.XLOOKUP(1,
    (INDEX(SFactors,,2)=10^LEFT(A137,1)) *
    (INDEX(SFactors,,3)=(LEN(A137)-LEN(SUBSTITUTE(A137,"_","")))),
    INDEX(SFactors,,4)
)</f>
        <v>#N/A</v>
      </c>
      <c r="AD137" s="3" t="e">
        <f t="array" ref="AD137">_xlfn.XLOOKUP(1,(INDEX(SFactors,,2)=10^LEFT(A137,1))*(INDEX(SFactors,,3)=(LEN(A137)-LEN(SUBSTITUTE(A137,"_","")))),INDEX(SFactors,,5))</f>
        <v>#N/A</v>
      </c>
      <c r="AE137" s="3" t="e">
        <f t="shared" si="15"/>
        <v>#N/A</v>
      </c>
    </row>
    <row r="138" spans="1:3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2"/>
      <c r="Q138" s="3">
        <f t="shared" si="14"/>
        <v>91</v>
      </c>
      <c r="R138" s="36">
        <f t="shared" si="16"/>
        <v>31</v>
      </c>
      <c r="S138"/>
      <c r="AA138" s="2" t="e">
        <f t="array" ref="AA138">_xlfn.XLOOKUP(1,(INDEX(SFactors,,2)=10^LEFT(A138,1))*(INDEX(SFactors,,3)=(LEN(A138)-LEN(SUBSTITUTE(A138,"_","")))),INDEX(SFactors,,4))*PreTenB+(C138-PreTenB)*_xlfn.XLOOKUP(1,(INDEX(SFactors,,2)=10^LEFT(A138,1))*(INDEX(SFactors,,3)=(LEN(A138)-LEN(SUBSTITUTE(A138,"_","")))),INDEX(SFactors,,5))</f>
        <v>#N/A</v>
      </c>
      <c r="AB138" s="25" t="e">
        <f t="shared" si="5"/>
        <v>#N/A</v>
      </c>
      <c r="AC138" s="2" t="e">
        <f t="array" ref="AC138">_xlfn.XLOOKUP(1,
    (INDEX(SFactors,,2)=10^LEFT(A138,1)) *
    (INDEX(SFactors,,3)=(LEN(A138)-LEN(SUBSTITUTE(A138,"_","")))),
    INDEX(SFactors,,4)
)</f>
        <v>#N/A</v>
      </c>
      <c r="AD138" s="3" t="e">
        <f t="array" ref="AD138">_xlfn.XLOOKUP(1,(INDEX(SFactors,,2)=10^LEFT(A138,1))*(INDEX(SFactors,,3)=(LEN(A138)-LEN(SUBSTITUTE(A138,"_","")))),INDEX(SFactors,,5))</f>
        <v>#N/A</v>
      </c>
      <c r="AE138" s="3" t="e">
        <f t="shared" si="15"/>
        <v>#N/A</v>
      </c>
    </row>
    <row r="139" spans="1:3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2"/>
      <c r="Q139" s="3">
        <f t="shared" si="14"/>
        <v>103</v>
      </c>
      <c r="R139" s="36">
        <f t="shared" si="16"/>
        <v>31</v>
      </c>
      <c r="S139"/>
      <c r="AA139" s="2" t="e">
        <f t="array" ref="AA139">_xlfn.XLOOKUP(1,(INDEX(SFactors,,2)=10^LEFT(A139,1))*(INDEX(SFactors,,3)=(LEN(A139)-LEN(SUBSTITUTE(A139,"_","")))),INDEX(SFactors,,4))*PreTenB+(C139-PreTenB)*_xlfn.XLOOKUP(1,(INDEX(SFactors,,2)=10^LEFT(A139,1))*(INDEX(SFactors,,3)=(LEN(A139)-LEN(SUBSTITUTE(A139,"_","")))),INDEX(SFactors,,5))</f>
        <v>#N/A</v>
      </c>
      <c r="AB139" s="25" t="e">
        <f t="shared" si="5"/>
        <v>#N/A</v>
      </c>
      <c r="AC139" s="2" t="e">
        <f t="array" ref="AC139">_xlfn.XLOOKUP(1,
    (INDEX(SFactors,,2)=10^LEFT(A139,1)) *
    (INDEX(SFactors,,3)=(LEN(A139)-LEN(SUBSTITUTE(A139,"_","")))),
    INDEX(SFactors,,4)
)</f>
        <v>#N/A</v>
      </c>
      <c r="AD139" s="3" t="e">
        <f t="array" ref="AD139">_xlfn.XLOOKUP(1,(INDEX(SFactors,,2)=10^LEFT(A139,1))*(INDEX(SFactors,,3)=(LEN(A139)-LEN(SUBSTITUTE(A139,"_","")))),INDEX(SFactors,,5))</f>
        <v>#N/A</v>
      </c>
      <c r="AE139" s="3" t="e">
        <f t="shared" si="15"/>
        <v>#N/A</v>
      </c>
    </row>
    <row r="140" spans="1:3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2"/>
      <c r="Q140" s="3">
        <f t="shared" si="14"/>
        <v>115</v>
      </c>
      <c r="R140" s="36">
        <f t="shared" si="16"/>
        <v>43</v>
      </c>
      <c r="S140"/>
      <c r="AA140" s="2" t="e">
        <f t="array" ref="AA140">_xlfn.XLOOKUP(1,(INDEX(SFactors,,2)=10^LEFT(A140,1))*(INDEX(SFactors,,3)=(LEN(A140)-LEN(SUBSTITUTE(A140,"_","")))),INDEX(SFactors,,4))*PreTenB+(C140-PreTenB)*_xlfn.XLOOKUP(1,(INDEX(SFactors,,2)=10^LEFT(A140,1))*(INDEX(SFactors,,3)=(LEN(A140)-LEN(SUBSTITUTE(A140,"_","")))),INDEX(SFactors,,5))</f>
        <v>#N/A</v>
      </c>
      <c r="AB140" s="25" t="e">
        <f t="shared" si="5"/>
        <v>#N/A</v>
      </c>
      <c r="AC140" s="2" t="e">
        <f t="array" ref="AC140">_xlfn.XLOOKUP(1,
    (INDEX(SFactors,,2)=10^LEFT(A140,1)) *
    (INDEX(SFactors,,3)=(LEN(A140)-LEN(SUBSTITUTE(A140,"_","")))),
    INDEX(SFactors,,4)
)</f>
        <v>#N/A</v>
      </c>
      <c r="AD140" s="3" t="e">
        <f t="array" ref="AD140">_xlfn.XLOOKUP(1,(INDEX(SFactors,,2)=10^LEFT(A140,1))*(INDEX(SFactors,,3)=(LEN(A140)-LEN(SUBSTITUTE(A140,"_","")))),INDEX(SFactors,,5))</f>
        <v>#N/A</v>
      </c>
      <c r="AE140" s="3" t="e">
        <f t="shared" si="15"/>
        <v>#N/A</v>
      </c>
    </row>
    <row r="141" spans="1:3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2"/>
      <c r="Q141" s="3">
        <f t="shared" si="14"/>
        <v>127</v>
      </c>
      <c r="R141" s="36">
        <f t="shared" si="16"/>
        <v>43</v>
      </c>
      <c r="S141"/>
      <c r="AA141" s="2" t="e">
        <f t="array" ref="AA141">_xlfn.XLOOKUP(1,(INDEX(SFactors,,2)=10^LEFT(A141,1))*(INDEX(SFactors,,3)=(LEN(A141)-LEN(SUBSTITUTE(A141,"_","")))),INDEX(SFactors,,4))*PreTenB+(C141-PreTenB)*_xlfn.XLOOKUP(1,(INDEX(SFactors,,2)=10^LEFT(A141,1))*(INDEX(SFactors,,3)=(LEN(A141)-LEN(SUBSTITUTE(A141,"_","")))),INDEX(SFactors,,5))</f>
        <v>#N/A</v>
      </c>
      <c r="AB141" s="25" t="e">
        <f t="shared" si="5"/>
        <v>#N/A</v>
      </c>
      <c r="AC141" s="2" t="e">
        <f t="array" ref="AC141">_xlfn.XLOOKUP(1,
    (INDEX(SFactors,,2)=10^LEFT(A141,1)) *
    (INDEX(SFactors,,3)=(LEN(A141)-LEN(SUBSTITUTE(A141,"_","")))),
    INDEX(SFactors,,4)
)</f>
        <v>#N/A</v>
      </c>
      <c r="AD141" s="3" t="e">
        <f t="array" ref="AD141">_xlfn.XLOOKUP(1,(INDEX(SFactors,,2)=10^LEFT(A141,1))*(INDEX(SFactors,,3)=(LEN(A141)-LEN(SUBSTITUTE(A141,"_","")))),INDEX(SFactors,,5))</f>
        <v>#N/A</v>
      </c>
      <c r="AE141" s="3" t="e">
        <f t="shared" si="15"/>
        <v>#N/A</v>
      </c>
    </row>
    <row r="142" spans="1:3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2"/>
      <c r="Q142" s="3">
        <f t="shared" si="14"/>
        <v>139</v>
      </c>
      <c r="R142" s="36">
        <f t="shared" si="16"/>
        <v>43</v>
      </c>
      <c r="S142"/>
      <c r="AA142" s="2" t="e">
        <f t="array" ref="AA142">_xlfn.XLOOKUP(1,(INDEX(SFactors,,2)=10^LEFT(A142,1))*(INDEX(SFactors,,3)=(LEN(A142)-LEN(SUBSTITUTE(A142,"_","")))),INDEX(SFactors,,4))*PreTenB+(C142-PreTenB)*_xlfn.XLOOKUP(1,(INDEX(SFactors,,2)=10^LEFT(A142,1))*(INDEX(SFactors,,3)=(LEN(A142)-LEN(SUBSTITUTE(A142,"_","")))),INDEX(SFactors,,5))</f>
        <v>#N/A</v>
      </c>
      <c r="AB142" s="25" t="e">
        <f t="shared" si="5"/>
        <v>#N/A</v>
      </c>
      <c r="AC142" s="2" t="e">
        <f t="array" ref="AC142">_xlfn.XLOOKUP(1,
    (INDEX(SFactors,,2)=10^LEFT(A142,1)) *
    (INDEX(SFactors,,3)=(LEN(A142)-LEN(SUBSTITUTE(A142,"_","")))),
    INDEX(SFactors,,4)
)</f>
        <v>#N/A</v>
      </c>
      <c r="AD142" s="3" t="e">
        <f t="array" ref="AD142">_xlfn.XLOOKUP(1,(INDEX(SFactors,,2)=10^LEFT(A142,1))*(INDEX(SFactors,,3)=(LEN(A142)-LEN(SUBSTITUTE(A142,"_","")))),INDEX(SFactors,,5))</f>
        <v>#N/A</v>
      </c>
      <c r="AE142" s="3" t="e">
        <f t="shared" si="15"/>
        <v>#N/A</v>
      </c>
    </row>
    <row r="143" spans="1:3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2"/>
      <c r="Q143" s="3">
        <f t="shared" si="14"/>
        <v>151</v>
      </c>
      <c r="R143" s="36">
        <f t="shared" si="16"/>
        <v>55</v>
      </c>
      <c r="S143"/>
      <c r="AA143" s="2" t="e">
        <f t="array" ref="AA143">_xlfn.XLOOKUP(1,(INDEX(SFactors,,2)=10^LEFT(A143,1))*(INDEX(SFactors,,3)=(LEN(A143)-LEN(SUBSTITUTE(A143,"_","")))),INDEX(SFactors,,4))*PreTenB+(C143-PreTenB)*_xlfn.XLOOKUP(1,(INDEX(SFactors,,2)=10^LEFT(A143,1))*(INDEX(SFactors,,3)=(LEN(A143)-LEN(SUBSTITUTE(A143,"_","")))),INDEX(SFactors,,5))</f>
        <v>#N/A</v>
      </c>
      <c r="AB143" s="25" t="e">
        <f t="shared" si="5"/>
        <v>#N/A</v>
      </c>
      <c r="AC143" s="2" t="e">
        <f t="array" ref="AC143">_xlfn.XLOOKUP(1,
    (INDEX(SFactors,,2)=10^LEFT(A143,1)) *
    (INDEX(SFactors,,3)=(LEN(A143)-LEN(SUBSTITUTE(A143,"_","")))),
    INDEX(SFactors,,4)
)</f>
        <v>#N/A</v>
      </c>
      <c r="AD143" s="3" t="e">
        <f t="array" ref="AD143">_xlfn.XLOOKUP(1,(INDEX(SFactors,,2)=10^LEFT(A143,1))*(INDEX(SFactors,,3)=(LEN(A143)-LEN(SUBSTITUTE(A143,"_","")))),INDEX(SFactors,,5))</f>
        <v>#N/A</v>
      </c>
      <c r="AE143" s="3" t="e">
        <f t="shared" si="15"/>
        <v>#N/A</v>
      </c>
    </row>
    <row r="144" spans="1:3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2"/>
      <c r="Q144" s="3">
        <f t="shared" si="14"/>
        <v>163</v>
      </c>
      <c r="R144" s="36">
        <f t="shared" si="16"/>
        <v>55</v>
      </c>
      <c r="S144"/>
      <c r="AA144" s="2" t="e">
        <f t="array" ref="AA144">_xlfn.XLOOKUP(1,(INDEX(SFactors,,2)=10^LEFT(A144,1))*(INDEX(SFactors,,3)=(LEN(A144)-LEN(SUBSTITUTE(A144,"_","")))),INDEX(SFactors,,4))*PreTenB+(C144-PreTenB)*_xlfn.XLOOKUP(1,(INDEX(SFactors,,2)=10^LEFT(A144,1))*(INDEX(SFactors,,3)=(LEN(A144)-LEN(SUBSTITUTE(A144,"_","")))),INDEX(SFactors,,5))</f>
        <v>#N/A</v>
      </c>
      <c r="AB144" s="25" t="e">
        <f t="shared" si="5"/>
        <v>#N/A</v>
      </c>
      <c r="AC144" s="2" t="e">
        <f t="array" ref="AC144">_xlfn.XLOOKUP(1,
    (INDEX(SFactors,,2)=10^LEFT(A144,1)) *
    (INDEX(SFactors,,3)=(LEN(A144)-LEN(SUBSTITUTE(A144,"_","")))),
    INDEX(SFactors,,4)
)</f>
        <v>#N/A</v>
      </c>
      <c r="AD144" s="3" t="e">
        <f t="array" ref="AD144">_xlfn.XLOOKUP(1,(INDEX(SFactors,,2)=10^LEFT(A144,1))*(INDEX(SFactors,,3)=(LEN(A144)-LEN(SUBSTITUTE(A144,"_","")))),INDEX(SFactors,,5))</f>
        <v>#N/A</v>
      </c>
      <c r="AE144" s="3" t="e">
        <f t="shared" si="15"/>
        <v>#N/A</v>
      </c>
    </row>
    <row r="145" spans="1:3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2"/>
      <c r="Q145" s="3">
        <f t="shared" si="14"/>
        <v>175</v>
      </c>
      <c r="R145" s="36">
        <f t="shared" si="16"/>
        <v>55</v>
      </c>
      <c r="S145"/>
      <c r="AA145" s="2" t="e">
        <f t="array" ref="AA145">_xlfn.XLOOKUP(1,(INDEX(SFactors,,2)=10^LEFT(A145,1))*(INDEX(SFactors,,3)=(LEN(A145)-LEN(SUBSTITUTE(A145,"_","")))),INDEX(SFactors,,4))*PreTenB+(C145-PreTenB)*_xlfn.XLOOKUP(1,(INDEX(SFactors,,2)=10^LEFT(A145,1))*(INDEX(SFactors,,3)=(LEN(A145)-LEN(SUBSTITUTE(A145,"_","")))),INDEX(SFactors,,5))</f>
        <v>#N/A</v>
      </c>
      <c r="AB145" s="25" t="e">
        <f t="shared" si="5"/>
        <v>#N/A</v>
      </c>
      <c r="AC145" s="2" t="e">
        <f t="array" ref="AC145">_xlfn.XLOOKUP(1,
    (INDEX(SFactors,,2)=10^LEFT(A145,1)) *
    (INDEX(SFactors,,3)=(LEN(A145)-LEN(SUBSTITUTE(A145,"_","")))),
    INDEX(SFactors,,4)
)</f>
        <v>#N/A</v>
      </c>
      <c r="AD145" s="3" t="e">
        <f t="array" ref="AD145">_xlfn.XLOOKUP(1,(INDEX(SFactors,,2)=10^LEFT(A145,1))*(INDEX(SFactors,,3)=(LEN(A145)-LEN(SUBSTITUTE(A145,"_","")))),INDEX(SFactors,,5))</f>
        <v>#N/A</v>
      </c>
      <c r="AE145" s="3" t="e">
        <f t="shared" si="15"/>
        <v>#N/A</v>
      </c>
    </row>
    <row r="146" spans="1:3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2"/>
      <c r="Q146" s="3">
        <f t="shared" si="14"/>
        <v>187</v>
      </c>
      <c r="R146" s="36">
        <f t="shared" si="16"/>
        <v>67</v>
      </c>
      <c r="S146"/>
      <c r="AA146" s="2" t="e">
        <f t="array" ref="AA146">_xlfn.XLOOKUP(1,(INDEX(SFactors,,2)=10^LEFT(A146,1))*(INDEX(SFactors,,3)=(LEN(A146)-LEN(SUBSTITUTE(A146,"_","")))),INDEX(SFactors,,4))*PreTenB+(C146-PreTenB)*_xlfn.XLOOKUP(1,(INDEX(SFactors,,2)=10^LEFT(A146,1))*(INDEX(SFactors,,3)=(LEN(A146)-LEN(SUBSTITUTE(A146,"_","")))),INDEX(SFactors,,5))</f>
        <v>#N/A</v>
      </c>
      <c r="AB146" s="25" t="e">
        <f t="shared" si="5"/>
        <v>#N/A</v>
      </c>
      <c r="AC146" s="2" t="e">
        <f t="array" ref="AC146">_xlfn.XLOOKUP(1,
    (INDEX(SFactors,,2)=10^LEFT(A146,1)) *
    (INDEX(SFactors,,3)=(LEN(A146)-LEN(SUBSTITUTE(A146,"_","")))),
    INDEX(SFactors,,4)
)</f>
        <v>#N/A</v>
      </c>
      <c r="AD146" s="3" t="e">
        <f t="array" ref="AD146">_xlfn.XLOOKUP(1,(INDEX(SFactors,,2)=10^LEFT(A146,1))*(INDEX(SFactors,,3)=(LEN(A146)-LEN(SUBSTITUTE(A146,"_","")))),INDEX(SFactors,,5))</f>
        <v>#N/A</v>
      </c>
      <c r="AE146" s="3" t="e">
        <f t="shared" si="15"/>
        <v>#N/A</v>
      </c>
    </row>
    <row r="147" spans="1:3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2"/>
      <c r="Q147" s="3">
        <f t="shared" si="14"/>
        <v>199</v>
      </c>
      <c r="R147" s="36">
        <f t="shared" si="16"/>
        <v>67</v>
      </c>
      <c r="S147"/>
      <c r="AA147" s="2" t="e">
        <f t="array" ref="AA147">_xlfn.XLOOKUP(1,(INDEX(SFactors,,2)=10^LEFT(A147,1))*(INDEX(SFactors,,3)=(LEN(A147)-LEN(SUBSTITUTE(A147,"_","")))),INDEX(SFactors,,4))*PreTenB+(C147-PreTenB)*_xlfn.XLOOKUP(1,(INDEX(SFactors,,2)=10^LEFT(A147,1))*(INDEX(SFactors,,3)=(LEN(A147)-LEN(SUBSTITUTE(A147,"_","")))),INDEX(SFactors,,5))</f>
        <v>#N/A</v>
      </c>
      <c r="AB147" s="25" t="e">
        <f t="shared" si="5"/>
        <v>#N/A</v>
      </c>
      <c r="AC147" s="2" t="e">
        <f t="array" ref="AC147">_xlfn.XLOOKUP(1,
    (INDEX(SFactors,,2)=10^LEFT(A147,1)) *
    (INDEX(SFactors,,3)=(LEN(A147)-LEN(SUBSTITUTE(A147,"_","")))),
    INDEX(SFactors,,4)
)</f>
        <v>#N/A</v>
      </c>
      <c r="AD147" s="3" t="e">
        <f t="array" ref="AD147">_xlfn.XLOOKUP(1,(INDEX(SFactors,,2)=10^LEFT(A147,1))*(INDEX(SFactors,,3)=(LEN(A147)-LEN(SUBSTITUTE(A147,"_","")))),INDEX(SFactors,,5))</f>
        <v>#N/A</v>
      </c>
      <c r="AE147" s="3" t="e">
        <f t="shared" si="15"/>
        <v>#N/A</v>
      </c>
    </row>
    <row r="148" spans="1:3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2"/>
      <c r="Q148" s="3">
        <f t="shared" si="14"/>
        <v>211</v>
      </c>
      <c r="R148" s="36">
        <f t="shared" si="16"/>
        <v>67</v>
      </c>
      <c r="S148"/>
      <c r="AA148" s="2" t="e">
        <f t="array" ref="AA148">_xlfn.XLOOKUP(1,(INDEX(SFactors,,2)=10^LEFT(A148,1))*(INDEX(SFactors,,3)=(LEN(A148)-LEN(SUBSTITUTE(A148,"_","")))),INDEX(SFactors,,4))*PreTenB+(C148-PreTenB)*_xlfn.XLOOKUP(1,(INDEX(SFactors,,2)=10^LEFT(A148,1))*(INDEX(SFactors,,3)=(LEN(A148)-LEN(SUBSTITUTE(A148,"_","")))),INDEX(SFactors,,5))</f>
        <v>#N/A</v>
      </c>
      <c r="AB148" s="25" t="e">
        <f t="shared" si="5"/>
        <v>#N/A</v>
      </c>
      <c r="AC148" s="2" t="e">
        <f t="array" ref="AC148">_xlfn.XLOOKUP(1,
    (INDEX(SFactors,,2)=10^LEFT(A148,1)) *
    (INDEX(SFactors,,3)=(LEN(A148)-LEN(SUBSTITUTE(A148,"_","")))),
    INDEX(SFactors,,4)
)</f>
        <v>#N/A</v>
      </c>
      <c r="AD148" s="3" t="e">
        <f t="array" ref="AD148">_xlfn.XLOOKUP(1,(INDEX(SFactors,,2)=10^LEFT(A148,1))*(INDEX(SFactors,,3)=(LEN(A148)-LEN(SUBSTITUTE(A148,"_","")))),INDEX(SFactors,,5))</f>
        <v>#N/A</v>
      </c>
      <c r="AE148" s="3" t="e">
        <f t="shared" si="15"/>
        <v>#N/A</v>
      </c>
    </row>
    <row r="149" spans="1:3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2"/>
      <c r="Q149" s="3">
        <f t="shared" si="14"/>
        <v>223</v>
      </c>
      <c r="R149" s="36">
        <f t="shared" si="16"/>
        <v>79</v>
      </c>
      <c r="S149"/>
      <c r="AA149" s="2" t="e">
        <f t="array" ref="AA149">_xlfn.XLOOKUP(1,(INDEX(SFactors,,2)=10^LEFT(A149,1))*(INDEX(SFactors,,3)=(LEN(A149)-LEN(SUBSTITUTE(A149,"_","")))),INDEX(SFactors,,4))*PreTenB+(C149-PreTenB)*_xlfn.XLOOKUP(1,(INDEX(SFactors,,2)=10^LEFT(A149,1))*(INDEX(SFactors,,3)=(LEN(A149)-LEN(SUBSTITUTE(A149,"_","")))),INDEX(SFactors,,5))</f>
        <v>#N/A</v>
      </c>
      <c r="AB149" s="25" t="e">
        <f t="shared" ref="AB149" si="18">AA149/MBL</f>
        <v>#N/A</v>
      </c>
      <c r="AC149" s="2" t="e">
        <f t="array" ref="AC149">_xlfn.XLOOKUP(1,
    (INDEX(SFactors,,2)=10^LEFT(A149,1)) *
    (INDEX(SFactors,,3)=(LEN(A149)-LEN(SUBSTITUTE(A149,"_","")))),
    INDEX(SFactors,,4)
)</f>
        <v>#N/A</v>
      </c>
      <c r="AD149" s="3" t="e">
        <f t="array" ref="AD149">_xlfn.XLOOKUP(1,(INDEX(SFactors,,2)=10^LEFT(A149,1))*(INDEX(SFactors,,3)=(LEN(A149)-LEN(SUBSTITUTE(A149,"_","")))),INDEX(SFactors,,5))</f>
        <v>#N/A</v>
      </c>
      <c r="AE149" s="3" t="e">
        <f t="shared" si="15"/>
        <v>#N/A</v>
      </c>
    </row>
    <row r="150" spans="1:3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2"/>
      <c r="Q150" s="3">
        <f t="shared" si="14"/>
        <v>235</v>
      </c>
      <c r="R150" s="36">
        <f t="shared" si="16"/>
        <v>79</v>
      </c>
      <c r="S150"/>
      <c r="AA150" s="2" t="e">
        <f t="array" ref="AA150">_xlfn.XLOOKUP(1,(INDEX(SFactors,,2)=10^LEFT(A150,1))*(INDEX(SFactors,,3)=(LEN(A150)-LEN(SUBSTITUTE(A150,"_","")))),INDEX(SFactors,,4))*PreTenB+(C150-PreTenB)*_xlfn.XLOOKUP(1,(INDEX(SFactors,,2)=10^LEFT(A150,1))*(INDEX(SFactors,,3)=(LEN(A150)-LEN(SUBSTITUTE(A150,"_","")))),INDEX(SFactors,,5))</f>
        <v>#N/A</v>
      </c>
      <c r="AB150" s="25" t="e">
        <f t="shared" si="5"/>
        <v>#N/A</v>
      </c>
      <c r="AC150" s="2" t="e">
        <f t="array" ref="AC150">_xlfn.XLOOKUP(1,
    (INDEX(SFactors,,2)=10^LEFT(A150,1)) *
    (INDEX(SFactors,,3)=(LEN(A150)-LEN(SUBSTITUTE(A150,"_","")))),
    INDEX(SFactors,,4)
)</f>
        <v>#N/A</v>
      </c>
      <c r="AD150" s="3" t="e">
        <f t="array" ref="AD150">_xlfn.XLOOKUP(1,(INDEX(SFactors,,2)=10^LEFT(A150,1))*(INDEX(SFactors,,3)=(LEN(A150)-LEN(SUBSTITUTE(A150,"_","")))),INDEX(SFactors,,5))</f>
        <v>#N/A</v>
      </c>
      <c r="AE150" s="3" t="e">
        <f t="shared" si="15"/>
        <v>#N/A</v>
      </c>
    </row>
    <row r="151" spans="1:3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2"/>
      <c r="Q151" s="3">
        <f t="shared" si="14"/>
        <v>247</v>
      </c>
      <c r="R151" s="36">
        <f t="shared" si="16"/>
        <v>79</v>
      </c>
      <c r="S151"/>
      <c r="AA151" s="2" t="e">
        <f t="array" ref="AA151">_xlfn.XLOOKUP(1,(INDEX(SFactors,,2)=10^LEFT(A151,1))*(INDEX(SFactors,,3)=(LEN(A151)-LEN(SUBSTITUTE(A151,"_","")))),INDEX(SFactors,,4))*PreTenB+(C151-PreTenB)*_xlfn.XLOOKUP(1,(INDEX(SFactors,,2)=10^LEFT(A151,1))*(INDEX(SFactors,,3)=(LEN(A151)-LEN(SUBSTITUTE(A151,"_","")))),INDEX(SFactors,,5))</f>
        <v>#N/A</v>
      </c>
      <c r="AB151" s="25" t="e">
        <f t="shared" si="5"/>
        <v>#N/A</v>
      </c>
      <c r="AC151" s="2" t="e">
        <f t="array" ref="AC151">_xlfn.XLOOKUP(1,
    (INDEX(SFactors,,2)=10^LEFT(A151,1)) *
    (INDEX(SFactors,,3)=(LEN(A151)-LEN(SUBSTITUTE(A151,"_","")))),
    INDEX(SFactors,,4)
)</f>
        <v>#N/A</v>
      </c>
      <c r="AD151" s="3" t="e">
        <f t="array" ref="AD151">_xlfn.XLOOKUP(1,(INDEX(SFactors,,2)=10^LEFT(A151,1))*(INDEX(SFactors,,3)=(LEN(A151)-LEN(SUBSTITUTE(A151,"_","")))),INDEX(SFactors,,5))</f>
        <v>#N/A</v>
      </c>
      <c r="AE151" s="3" t="e">
        <f t="shared" si="15"/>
        <v>#N/A</v>
      </c>
    </row>
    <row r="152" spans="1:3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2"/>
      <c r="Q152" s="3">
        <f t="shared" si="14"/>
        <v>8</v>
      </c>
      <c r="R152" s="36">
        <f t="shared" si="16"/>
        <v>8</v>
      </c>
      <c r="S152"/>
      <c r="AA152" s="2" t="e">
        <f t="array" ref="AA152">_xlfn.XLOOKUP(1,(INDEX(SFactors,,2)=10^LEFT(A152,1))*(INDEX(SFactors,,3)=(LEN(A152)-LEN(SUBSTITUTE(A152,"_","")))),INDEX(SFactors,,4))*PreTenB+(C152-PreTenB)*_xlfn.XLOOKUP(1,(INDEX(SFactors,,2)=10^LEFT(A152,1))*(INDEX(SFactors,,3)=(LEN(A152)-LEN(SUBSTITUTE(A152,"_","")))),INDEX(SFactors,,5))</f>
        <v>#N/A</v>
      </c>
      <c r="AB152" s="25" t="e">
        <f t="shared" si="5"/>
        <v>#N/A</v>
      </c>
      <c r="AC152" s="2" t="e">
        <f t="array" ref="AC152">_xlfn.XLOOKUP(1,
    (INDEX(SFactors,,2)=10^LEFT(A152,1)) *
    (INDEX(SFactors,,3)=(LEN(A152)-LEN(SUBSTITUTE(A152,"_","")))),
    INDEX(SFactors,,4)
)</f>
        <v>#N/A</v>
      </c>
      <c r="AD152" s="3" t="e">
        <f t="array" ref="AD152">_xlfn.XLOOKUP(1,(INDEX(SFactors,,2)=10^LEFT(A152,1))*(INDEX(SFactors,,3)=(LEN(A152)-LEN(SUBSTITUTE(A152,"_","")))),INDEX(SFactors,,5))</f>
        <v>#N/A</v>
      </c>
      <c r="AE152" s="3" t="e">
        <f t="shared" si="15"/>
        <v>#N/A</v>
      </c>
    </row>
    <row r="153" spans="1:3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2"/>
      <c r="Q153" s="3">
        <f t="shared" si="14"/>
        <v>20</v>
      </c>
      <c r="R153" s="36">
        <f t="shared" si="16"/>
        <v>8</v>
      </c>
      <c r="S153"/>
      <c r="AA153" s="2" t="e">
        <f t="array" ref="AA153">_xlfn.XLOOKUP(1,(INDEX(SFactors,,2)=10^LEFT(A153,1))*(INDEX(SFactors,,3)=(LEN(A153)-LEN(SUBSTITUTE(A153,"_","")))),INDEX(SFactors,,4))*PreTenB+(C153-PreTenB)*_xlfn.XLOOKUP(1,(INDEX(SFactors,,2)=10^LEFT(A153,1))*(INDEX(SFactors,,3)=(LEN(A153)-LEN(SUBSTITUTE(A153,"_","")))),INDEX(SFactors,,5))</f>
        <v>#N/A</v>
      </c>
      <c r="AB153" s="25" t="e">
        <f t="shared" si="5"/>
        <v>#N/A</v>
      </c>
      <c r="AC153" s="2" t="e">
        <f t="array" ref="AC153">_xlfn.XLOOKUP(1,
    (INDEX(SFactors,,2)=10^LEFT(A153,1)) *
    (INDEX(SFactors,,3)=(LEN(A153)-LEN(SUBSTITUTE(A153,"_","")))),
    INDEX(SFactors,,4)
)</f>
        <v>#N/A</v>
      </c>
      <c r="AD153" s="3" t="e">
        <f t="array" ref="AD153">_xlfn.XLOOKUP(1,(INDEX(SFactors,,2)=10^LEFT(A153,1))*(INDEX(SFactors,,3)=(LEN(A153)-LEN(SUBSTITUTE(A153,"_","")))),INDEX(SFactors,,5))</f>
        <v>#N/A</v>
      </c>
      <c r="AE153" s="3" t="e">
        <f t="shared" si="15"/>
        <v>#N/A</v>
      </c>
    </row>
    <row r="154" spans="1:3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2"/>
      <c r="Q154" s="3">
        <f t="shared" si="14"/>
        <v>32</v>
      </c>
      <c r="R154" s="36">
        <f t="shared" si="16"/>
        <v>8</v>
      </c>
      <c r="S154"/>
      <c r="AA154" s="2" t="e">
        <f t="array" ref="AA154">_xlfn.XLOOKUP(1,(INDEX(SFactors,,2)=10^LEFT(A154,1))*(INDEX(SFactors,,3)=(LEN(A154)-LEN(SUBSTITUTE(A154,"_","")))),INDEX(SFactors,,4))*PreTenB+(C154-PreTenB)*_xlfn.XLOOKUP(1,(INDEX(SFactors,,2)=10^LEFT(A154,1))*(INDEX(SFactors,,3)=(LEN(A154)-LEN(SUBSTITUTE(A154,"_","")))),INDEX(SFactors,,5))</f>
        <v>#N/A</v>
      </c>
      <c r="AB154" s="25" t="e">
        <f t="shared" si="5"/>
        <v>#N/A</v>
      </c>
      <c r="AC154" s="2" t="e">
        <f t="array" ref="AC154">_xlfn.XLOOKUP(1,
    (INDEX(SFactors,,2)=10^LEFT(A154,1)) *
    (INDEX(SFactors,,3)=(LEN(A154)-LEN(SUBSTITUTE(A154,"_","")))),
    INDEX(SFactors,,4)
)</f>
        <v>#N/A</v>
      </c>
      <c r="AD154" s="3" t="e">
        <f t="array" ref="AD154">_xlfn.XLOOKUP(1,(INDEX(SFactors,,2)=10^LEFT(A154,1))*(INDEX(SFactors,,3)=(LEN(A154)-LEN(SUBSTITUTE(A154,"_","")))),INDEX(SFactors,,5))</f>
        <v>#N/A</v>
      </c>
      <c r="AE154" s="3" t="e">
        <f t="shared" si="15"/>
        <v>#N/A</v>
      </c>
    </row>
    <row r="155" spans="1:3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2"/>
      <c r="Q155" s="3">
        <f t="shared" si="14"/>
        <v>44</v>
      </c>
      <c r="R155" s="36">
        <f t="shared" si="16"/>
        <v>20</v>
      </c>
      <c r="S155"/>
      <c r="AA155" s="2" t="e">
        <f t="array" ref="AA155">_xlfn.XLOOKUP(1,(INDEX(SFactors,,2)=10^LEFT(A155,1))*(INDEX(SFactors,,3)=(LEN(A155)-LEN(SUBSTITUTE(A155,"_","")))),INDEX(SFactors,,4))*PreTenB+(C155-PreTenB)*_xlfn.XLOOKUP(1,(INDEX(SFactors,,2)=10^LEFT(A155,1))*(INDEX(SFactors,,3)=(LEN(A155)-LEN(SUBSTITUTE(A155,"_","")))),INDEX(SFactors,,5))</f>
        <v>#N/A</v>
      </c>
      <c r="AB155" s="25" t="e">
        <f t="shared" si="5"/>
        <v>#N/A</v>
      </c>
      <c r="AC155" s="2" t="e">
        <f t="array" ref="AC155">_xlfn.XLOOKUP(1,
    (INDEX(SFactors,,2)=10^LEFT(A155,1)) *
    (INDEX(SFactors,,3)=(LEN(A155)-LEN(SUBSTITUTE(A155,"_","")))),
    INDEX(SFactors,,4)
)</f>
        <v>#N/A</v>
      </c>
      <c r="AD155" s="3" t="e">
        <f t="array" ref="AD155">_xlfn.XLOOKUP(1,(INDEX(SFactors,,2)=10^LEFT(A155,1))*(INDEX(SFactors,,3)=(LEN(A155)-LEN(SUBSTITUTE(A155,"_","")))),INDEX(SFactors,,5))</f>
        <v>#N/A</v>
      </c>
      <c r="AE155" s="3" t="e">
        <f t="shared" si="15"/>
        <v>#N/A</v>
      </c>
    </row>
    <row r="156" spans="1:3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2"/>
      <c r="Q156" s="3">
        <f t="shared" si="14"/>
        <v>56</v>
      </c>
      <c r="R156" s="36">
        <f t="shared" si="16"/>
        <v>20</v>
      </c>
      <c r="S156"/>
      <c r="AA156" s="2" t="e">
        <f t="array" ref="AA156">_xlfn.XLOOKUP(1,(INDEX(SFactors,,2)=10^LEFT(A156,1))*(INDEX(SFactors,,3)=(LEN(A156)-LEN(SUBSTITUTE(A156,"_","")))),INDEX(SFactors,,4))*PreTenB+(C156-PreTenB)*_xlfn.XLOOKUP(1,(INDEX(SFactors,,2)=10^LEFT(A156,1))*(INDEX(SFactors,,3)=(LEN(A156)-LEN(SUBSTITUTE(A156,"_","")))),INDEX(SFactors,,5))</f>
        <v>#N/A</v>
      </c>
      <c r="AB156" s="25" t="e">
        <f t="shared" si="5"/>
        <v>#N/A</v>
      </c>
      <c r="AC156" s="2" t="e">
        <f t="array" ref="AC156">_xlfn.XLOOKUP(1,
    (INDEX(SFactors,,2)=10^LEFT(A156,1)) *
    (INDEX(SFactors,,3)=(LEN(A156)-LEN(SUBSTITUTE(A156,"_","")))),
    INDEX(SFactors,,4)
)</f>
        <v>#N/A</v>
      </c>
      <c r="AD156" s="3" t="e">
        <f t="array" ref="AD156">_xlfn.XLOOKUP(1,(INDEX(SFactors,,2)=10^LEFT(A156,1))*(INDEX(SFactors,,3)=(LEN(A156)-LEN(SUBSTITUTE(A156,"_","")))),INDEX(SFactors,,5))</f>
        <v>#N/A</v>
      </c>
      <c r="AE156" s="3" t="e">
        <f t="shared" si="15"/>
        <v>#N/A</v>
      </c>
    </row>
    <row r="157" spans="1:3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2"/>
      <c r="Q157" s="3">
        <f t="shared" si="14"/>
        <v>68</v>
      </c>
      <c r="R157" s="36">
        <f t="shared" si="16"/>
        <v>20</v>
      </c>
      <c r="S157"/>
      <c r="AA157" s="2" t="e">
        <f t="array" ref="AA157">_xlfn.XLOOKUP(1,(INDEX(SFactors,,2)=10^LEFT(A157,1))*(INDEX(SFactors,,3)=(LEN(A157)-LEN(SUBSTITUTE(A157,"_","")))),INDEX(SFactors,,4))*PreTenB+(C157-PreTenB)*_xlfn.XLOOKUP(1,(INDEX(SFactors,,2)=10^LEFT(A157,1))*(INDEX(SFactors,,3)=(LEN(A157)-LEN(SUBSTITUTE(A157,"_","")))),INDEX(SFactors,,5))</f>
        <v>#N/A</v>
      </c>
      <c r="AB157" s="25" t="e">
        <f t="shared" si="5"/>
        <v>#N/A</v>
      </c>
      <c r="AC157" s="2" t="e">
        <f t="array" ref="AC157">_xlfn.XLOOKUP(1,
    (INDEX(SFactors,,2)=10^LEFT(A157,1)) *
    (INDEX(SFactors,,3)=(LEN(A157)-LEN(SUBSTITUTE(A157,"_","")))),
    INDEX(SFactors,,4)
)</f>
        <v>#N/A</v>
      </c>
      <c r="AD157" s="3" t="e">
        <f t="array" ref="AD157">_xlfn.XLOOKUP(1,(INDEX(SFactors,,2)=10^LEFT(A157,1))*(INDEX(SFactors,,3)=(LEN(A157)-LEN(SUBSTITUTE(A157,"_","")))),INDEX(SFactors,,5))</f>
        <v>#N/A</v>
      </c>
      <c r="AE157" s="3" t="e">
        <f t="shared" si="15"/>
        <v>#N/A</v>
      </c>
    </row>
    <row r="158" spans="1:3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2"/>
      <c r="Q158" s="3">
        <f t="shared" si="14"/>
        <v>80</v>
      </c>
      <c r="R158" s="36">
        <f t="shared" si="16"/>
        <v>32</v>
      </c>
      <c r="S158"/>
      <c r="AA158" s="2" t="e">
        <f t="array" ref="AA158">_xlfn.XLOOKUP(1,(INDEX(SFactors,,2)=10^LEFT(A158,1))*(INDEX(SFactors,,3)=(LEN(A158)-LEN(SUBSTITUTE(A158,"_","")))),INDEX(SFactors,,4))*PreTenB+(C158-PreTenB)*_xlfn.XLOOKUP(1,(INDEX(SFactors,,2)=10^LEFT(A158,1))*(INDEX(SFactors,,3)=(LEN(A158)-LEN(SUBSTITUTE(A158,"_","")))),INDEX(SFactors,,5))</f>
        <v>#N/A</v>
      </c>
      <c r="AB158" s="25" t="e">
        <f t="shared" si="5"/>
        <v>#N/A</v>
      </c>
      <c r="AC158" s="2" t="e">
        <f t="array" ref="AC158">_xlfn.XLOOKUP(1,
    (INDEX(SFactors,,2)=10^LEFT(A158,1)) *
    (INDEX(SFactors,,3)=(LEN(A158)-LEN(SUBSTITUTE(A158,"_","")))),
    INDEX(SFactors,,4)
)</f>
        <v>#N/A</v>
      </c>
      <c r="AD158" s="3" t="e">
        <f t="array" ref="AD158">_xlfn.XLOOKUP(1,(INDEX(SFactors,,2)=10^LEFT(A158,1))*(INDEX(SFactors,,3)=(LEN(A158)-LEN(SUBSTITUTE(A158,"_","")))),INDEX(SFactors,,5))</f>
        <v>#N/A</v>
      </c>
      <c r="AE158" s="3" t="e">
        <f t="shared" si="15"/>
        <v>#N/A</v>
      </c>
    </row>
    <row r="159" spans="1:3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2"/>
      <c r="Q159" s="3">
        <f t="shared" si="14"/>
        <v>92</v>
      </c>
      <c r="R159" s="36">
        <f t="shared" si="16"/>
        <v>32</v>
      </c>
      <c r="S159"/>
      <c r="AA159" s="2" t="e">
        <f t="array" ref="AA159">_xlfn.XLOOKUP(1,(INDEX(SFactors,,2)=10^LEFT(A159,1))*(INDEX(SFactors,,3)=(LEN(A159)-LEN(SUBSTITUTE(A159,"_","")))),INDEX(SFactors,,4))*PreTenB+(C159-PreTenB)*_xlfn.XLOOKUP(1,(INDEX(SFactors,,2)=10^LEFT(A159,1))*(INDEX(SFactors,,3)=(LEN(A159)-LEN(SUBSTITUTE(A159,"_","")))),INDEX(SFactors,,5))</f>
        <v>#N/A</v>
      </c>
      <c r="AB159" s="25" t="e">
        <f t="shared" si="5"/>
        <v>#N/A</v>
      </c>
      <c r="AC159" s="2" t="e">
        <f t="array" ref="AC159">_xlfn.XLOOKUP(1,
    (INDEX(SFactors,,2)=10^LEFT(A159,1)) *
    (INDEX(SFactors,,3)=(LEN(A159)-LEN(SUBSTITUTE(A159,"_","")))),
    INDEX(SFactors,,4)
)</f>
        <v>#N/A</v>
      </c>
      <c r="AD159" s="3" t="e">
        <f t="array" ref="AD159">_xlfn.XLOOKUP(1,(INDEX(SFactors,,2)=10^LEFT(A159,1))*(INDEX(SFactors,,3)=(LEN(A159)-LEN(SUBSTITUTE(A159,"_","")))),INDEX(SFactors,,5))</f>
        <v>#N/A</v>
      </c>
      <c r="AE159" s="3" t="e">
        <f t="shared" si="15"/>
        <v>#N/A</v>
      </c>
    </row>
    <row r="160" spans="1:3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2"/>
      <c r="Q160" s="3">
        <f t="shared" si="14"/>
        <v>104</v>
      </c>
      <c r="R160" s="36">
        <f t="shared" si="16"/>
        <v>32</v>
      </c>
      <c r="S160"/>
      <c r="AA160" s="2" t="e">
        <f t="array" ref="AA160">_xlfn.XLOOKUP(1,(INDEX(SFactors,,2)=10^LEFT(A160,1))*(INDEX(SFactors,,3)=(LEN(A160)-LEN(SUBSTITUTE(A160,"_","")))),INDEX(SFactors,,4))*PreTenB+(C160-PreTenB)*_xlfn.XLOOKUP(1,(INDEX(SFactors,,2)=10^LEFT(A160,1))*(INDEX(SFactors,,3)=(LEN(A160)-LEN(SUBSTITUTE(A160,"_","")))),INDEX(SFactors,,5))</f>
        <v>#N/A</v>
      </c>
      <c r="AB160" s="25" t="e">
        <f t="shared" si="5"/>
        <v>#N/A</v>
      </c>
      <c r="AC160" s="2" t="e">
        <f t="array" ref="AC160">_xlfn.XLOOKUP(1,
    (INDEX(SFactors,,2)=10^LEFT(A160,1)) *
    (INDEX(SFactors,,3)=(LEN(A160)-LEN(SUBSTITUTE(A160,"_","")))),
    INDEX(SFactors,,4)
)</f>
        <v>#N/A</v>
      </c>
      <c r="AD160" s="3" t="e">
        <f t="array" ref="AD160">_xlfn.XLOOKUP(1,(INDEX(SFactors,,2)=10^LEFT(A160,1))*(INDEX(SFactors,,3)=(LEN(A160)-LEN(SUBSTITUTE(A160,"_","")))),INDEX(SFactors,,5))</f>
        <v>#N/A</v>
      </c>
      <c r="AE160" s="3" t="e">
        <f t="shared" si="15"/>
        <v>#N/A</v>
      </c>
    </row>
    <row r="161" spans="1:3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2"/>
      <c r="Q161" s="3">
        <f t="shared" si="14"/>
        <v>116</v>
      </c>
      <c r="R161" s="36">
        <f t="shared" si="16"/>
        <v>44</v>
      </c>
      <c r="S161"/>
      <c r="AA161" s="2" t="e">
        <f t="array" ref="AA161">_xlfn.XLOOKUP(1,(INDEX(SFactors,,2)=10^LEFT(A161,1))*(INDEX(SFactors,,3)=(LEN(A161)-LEN(SUBSTITUTE(A161,"_","")))),INDEX(SFactors,,4))*PreTenB+(C161-PreTenB)*_xlfn.XLOOKUP(1,(INDEX(SFactors,,2)=10^LEFT(A161,1))*(INDEX(SFactors,,3)=(LEN(A161)-LEN(SUBSTITUTE(A161,"_","")))),INDEX(SFactors,,5))</f>
        <v>#N/A</v>
      </c>
      <c r="AB161" s="25" t="e">
        <f t="shared" ref="AB161" si="19">AA161/MBL</f>
        <v>#N/A</v>
      </c>
      <c r="AC161" s="2" t="e">
        <f t="array" ref="AC161">_xlfn.XLOOKUP(1,
    (INDEX(SFactors,,2)=10^LEFT(A161,1)) *
    (INDEX(SFactors,,3)=(LEN(A161)-LEN(SUBSTITUTE(A161,"_","")))),
    INDEX(SFactors,,4)
)</f>
        <v>#N/A</v>
      </c>
      <c r="AD161" s="3" t="e">
        <f t="array" ref="AD161">_xlfn.XLOOKUP(1,(INDEX(SFactors,,2)=10^LEFT(A161,1))*(INDEX(SFactors,,3)=(LEN(A161)-LEN(SUBSTITUTE(A161,"_","")))),INDEX(SFactors,,5))</f>
        <v>#N/A</v>
      </c>
      <c r="AE161" s="3" t="e">
        <f t="shared" si="15"/>
        <v>#N/A</v>
      </c>
    </row>
    <row r="162" spans="1:3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2"/>
      <c r="Q162" s="3">
        <f t="shared" si="14"/>
        <v>128</v>
      </c>
      <c r="R162" s="36">
        <f t="shared" si="16"/>
        <v>44</v>
      </c>
      <c r="S162"/>
      <c r="AA162" s="2" t="e">
        <f t="array" ref="AA162">_xlfn.XLOOKUP(1,(INDEX(SFactors,,2)=10^LEFT(A162,1))*(INDEX(SFactors,,3)=(LEN(A162)-LEN(SUBSTITUTE(A162,"_","")))),INDEX(SFactors,,4))*PreTenB+(C162-PreTenB)*_xlfn.XLOOKUP(1,(INDEX(SFactors,,2)=10^LEFT(A162,1))*(INDEX(SFactors,,3)=(LEN(A162)-LEN(SUBSTITUTE(A162,"_","")))),INDEX(SFactors,,5))</f>
        <v>#N/A</v>
      </c>
      <c r="AB162" s="25" t="e">
        <f t="shared" si="5"/>
        <v>#N/A</v>
      </c>
      <c r="AC162" s="2" t="e">
        <f t="array" ref="AC162">_xlfn.XLOOKUP(1,
    (INDEX(SFactors,,2)=10^LEFT(A162,1)) *
    (INDEX(SFactors,,3)=(LEN(A162)-LEN(SUBSTITUTE(A162,"_","")))),
    INDEX(SFactors,,4)
)</f>
        <v>#N/A</v>
      </c>
      <c r="AD162" s="3" t="e">
        <f t="array" ref="AD162">_xlfn.XLOOKUP(1,(INDEX(SFactors,,2)=10^LEFT(A162,1))*(INDEX(SFactors,,3)=(LEN(A162)-LEN(SUBSTITUTE(A162,"_","")))),INDEX(SFactors,,5))</f>
        <v>#N/A</v>
      </c>
      <c r="AE162" s="3" t="e">
        <f t="shared" si="15"/>
        <v>#N/A</v>
      </c>
    </row>
    <row r="163" spans="1:3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2"/>
      <c r="Q163" s="3">
        <f t="shared" si="14"/>
        <v>140</v>
      </c>
      <c r="R163" s="36">
        <f t="shared" si="16"/>
        <v>44</v>
      </c>
      <c r="S163"/>
      <c r="AA163" s="2" t="e">
        <f t="array" ref="AA163">_xlfn.XLOOKUP(1,(INDEX(SFactors,,2)=10^LEFT(A163,1))*(INDEX(SFactors,,3)=(LEN(A163)-LEN(SUBSTITUTE(A163,"_","")))),INDEX(SFactors,,4))*PreTenB+(C163-PreTenB)*_xlfn.XLOOKUP(1,(INDEX(SFactors,,2)=10^LEFT(A163,1))*(INDEX(SFactors,,3)=(LEN(A163)-LEN(SUBSTITUTE(A163,"_","")))),INDEX(SFactors,,5))</f>
        <v>#N/A</v>
      </c>
      <c r="AB163" s="25" t="e">
        <f t="shared" si="5"/>
        <v>#N/A</v>
      </c>
      <c r="AC163" s="2" t="e">
        <f t="array" ref="AC163">_xlfn.XLOOKUP(1,
    (INDEX(SFactors,,2)=10^LEFT(A163,1)) *
    (INDEX(SFactors,,3)=(LEN(A163)-LEN(SUBSTITUTE(A163,"_","")))),
    INDEX(SFactors,,4)
)</f>
        <v>#N/A</v>
      </c>
      <c r="AD163" s="3" t="e">
        <f t="array" ref="AD163">_xlfn.XLOOKUP(1,(INDEX(SFactors,,2)=10^LEFT(A163,1))*(INDEX(SFactors,,3)=(LEN(A163)-LEN(SUBSTITUTE(A163,"_","")))),INDEX(SFactors,,5))</f>
        <v>#N/A</v>
      </c>
      <c r="AE163" s="3" t="e">
        <f t="shared" si="15"/>
        <v>#N/A</v>
      </c>
    </row>
    <row r="164" spans="1:3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2"/>
      <c r="Q164" s="3">
        <f t="shared" si="14"/>
        <v>152</v>
      </c>
      <c r="R164" s="36">
        <f t="shared" si="16"/>
        <v>56</v>
      </c>
      <c r="S164"/>
      <c r="AA164" s="2" t="e">
        <f t="array" ref="AA164">_xlfn.XLOOKUP(1,(INDEX(SFactors,,2)=10^LEFT(A164,1))*(INDEX(SFactors,,3)=(LEN(A164)-LEN(SUBSTITUTE(A164,"_","")))),INDEX(SFactors,,4))*PreTenB+(C164-PreTenB)*_xlfn.XLOOKUP(1,(INDEX(SFactors,,2)=10^LEFT(A164,1))*(INDEX(SFactors,,3)=(LEN(A164)-LEN(SUBSTITUTE(A164,"_","")))),INDEX(SFactors,,5))</f>
        <v>#N/A</v>
      </c>
      <c r="AB164" s="25" t="e">
        <f t="shared" si="5"/>
        <v>#N/A</v>
      </c>
      <c r="AC164" s="2" t="e">
        <f t="array" ref="AC164">_xlfn.XLOOKUP(1,
    (INDEX(SFactors,,2)=10^LEFT(A164,1)) *
    (INDEX(SFactors,,3)=(LEN(A164)-LEN(SUBSTITUTE(A164,"_","")))),
    INDEX(SFactors,,4)
)</f>
        <v>#N/A</v>
      </c>
      <c r="AD164" s="3" t="e">
        <f t="array" ref="AD164">_xlfn.XLOOKUP(1,(INDEX(SFactors,,2)=10^LEFT(A164,1))*(INDEX(SFactors,,3)=(LEN(A164)-LEN(SUBSTITUTE(A164,"_","")))),INDEX(SFactors,,5))</f>
        <v>#N/A</v>
      </c>
      <c r="AE164" s="3" t="e">
        <f t="shared" si="15"/>
        <v>#N/A</v>
      </c>
    </row>
    <row r="165" spans="1:3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2"/>
      <c r="Q165" s="3">
        <f t="shared" si="14"/>
        <v>164</v>
      </c>
      <c r="R165" s="36">
        <f t="shared" si="16"/>
        <v>56</v>
      </c>
      <c r="S165"/>
      <c r="AA165" s="2" t="e">
        <f t="array" ref="AA165">_xlfn.XLOOKUP(1,(INDEX(SFactors,,2)=10^LEFT(A165,1))*(INDEX(SFactors,,3)=(LEN(A165)-LEN(SUBSTITUTE(A165,"_","")))),INDEX(SFactors,,4))*PreTenB+(C165-PreTenB)*_xlfn.XLOOKUP(1,(INDEX(SFactors,,2)=10^LEFT(A165,1))*(INDEX(SFactors,,3)=(LEN(A165)-LEN(SUBSTITUTE(A165,"_","")))),INDEX(SFactors,,5))</f>
        <v>#N/A</v>
      </c>
      <c r="AB165" s="25" t="e">
        <f t="shared" si="5"/>
        <v>#N/A</v>
      </c>
      <c r="AC165" s="2" t="e">
        <f t="array" ref="AC165">_xlfn.XLOOKUP(1,
    (INDEX(SFactors,,2)=10^LEFT(A165,1)) *
    (INDEX(SFactors,,3)=(LEN(A165)-LEN(SUBSTITUTE(A165,"_","")))),
    INDEX(SFactors,,4)
)</f>
        <v>#N/A</v>
      </c>
      <c r="AD165" s="3" t="e">
        <f t="array" ref="AD165">_xlfn.XLOOKUP(1,(INDEX(SFactors,,2)=10^LEFT(A165,1))*(INDEX(SFactors,,3)=(LEN(A165)-LEN(SUBSTITUTE(A165,"_","")))),INDEX(SFactors,,5))</f>
        <v>#N/A</v>
      </c>
      <c r="AE165" s="3" t="e">
        <f t="shared" si="15"/>
        <v>#N/A</v>
      </c>
    </row>
    <row r="166" spans="1:3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2"/>
      <c r="Q166" s="3">
        <f t="shared" si="14"/>
        <v>176</v>
      </c>
      <c r="R166" s="36">
        <f t="shared" si="16"/>
        <v>56</v>
      </c>
      <c r="S166"/>
      <c r="AA166" s="2" t="e">
        <f t="array" ref="AA166">_xlfn.XLOOKUP(1,(INDEX(SFactors,,2)=10^LEFT(A166,1))*(INDEX(SFactors,,3)=(LEN(A166)-LEN(SUBSTITUTE(A166,"_","")))),INDEX(SFactors,,4))*PreTenB+(C166-PreTenB)*_xlfn.XLOOKUP(1,(INDEX(SFactors,,2)=10^LEFT(A166,1))*(INDEX(SFactors,,3)=(LEN(A166)-LEN(SUBSTITUTE(A166,"_","")))),INDEX(SFactors,,5))</f>
        <v>#N/A</v>
      </c>
      <c r="AB166" s="25" t="e">
        <f t="shared" si="5"/>
        <v>#N/A</v>
      </c>
      <c r="AC166" s="2" t="e">
        <f t="array" ref="AC166">_xlfn.XLOOKUP(1,
    (INDEX(SFactors,,2)=10^LEFT(A166,1)) *
    (INDEX(SFactors,,3)=(LEN(A166)-LEN(SUBSTITUTE(A166,"_","")))),
    INDEX(SFactors,,4)
)</f>
        <v>#N/A</v>
      </c>
      <c r="AD166" s="3" t="e">
        <f t="array" ref="AD166">_xlfn.XLOOKUP(1,(INDEX(SFactors,,2)=10^LEFT(A166,1))*(INDEX(SFactors,,3)=(LEN(A166)-LEN(SUBSTITUTE(A166,"_","")))),INDEX(SFactors,,5))</f>
        <v>#N/A</v>
      </c>
      <c r="AE166" s="3" t="e">
        <f t="shared" si="15"/>
        <v>#N/A</v>
      </c>
    </row>
    <row r="167" spans="1:3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2"/>
      <c r="Q167" s="3">
        <f t="shared" si="14"/>
        <v>188</v>
      </c>
      <c r="R167" s="36">
        <f t="shared" si="16"/>
        <v>68</v>
      </c>
      <c r="S167"/>
      <c r="AA167" s="2" t="e">
        <f t="array" ref="AA167">_xlfn.XLOOKUP(1,(INDEX(SFactors,,2)=10^LEFT(A167,1))*(INDEX(SFactors,,3)=(LEN(A167)-LEN(SUBSTITUTE(A167,"_","")))),INDEX(SFactors,,4))*PreTenB+(C167-PreTenB)*_xlfn.XLOOKUP(1,(INDEX(SFactors,,2)=10^LEFT(A167,1))*(INDEX(SFactors,,3)=(LEN(A167)-LEN(SUBSTITUTE(A167,"_","")))),INDEX(SFactors,,5))</f>
        <v>#N/A</v>
      </c>
      <c r="AB167" s="25" t="e">
        <f t="shared" si="5"/>
        <v>#N/A</v>
      </c>
      <c r="AC167" s="2" t="e">
        <f t="array" ref="AC167">_xlfn.XLOOKUP(1,
    (INDEX(SFactors,,2)=10^LEFT(A167,1)) *
    (INDEX(SFactors,,3)=(LEN(A167)-LEN(SUBSTITUTE(A167,"_","")))),
    INDEX(SFactors,,4)
)</f>
        <v>#N/A</v>
      </c>
      <c r="AD167" s="3" t="e">
        <f t="array" ref="AD167">_xlfn.XLOOKUP(1,(INDEX(SFactors,,2)=10^LEFT(A167,1))*(INDEX(SFactors,,3)=(LEN(A167)-LEN(SUBSTITUTE(A167,"_","")))),INDEX(SFactors,,5))</f>
        <v>#N/A</v>
      </c>
      <c r="AE167" s="3" t="e">
        <f t="shared" si="15"/>
        <v>#N/A</v>
      </c>
    </row>
    <row r="168" spans="1:3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2"/>
      <c r="Q168" s="3">
        <f t="shared" si="14"/>
        <v>200</v>
      </c>
      <c r="R168" s="36">
        <f t="shared" si="16"/>
        <v>68</v>
      </c>
      <c r="S168"/>
      <c r="AA168" s="2" t="e">
        <f t="array" ref="AA168">_xlfn.XLOOKUP(1,(INDEX(SFactors,,2)=10^LEFT(A168,1))*(INDEX(SFactors,,3)=(LEN(A168)-LEN(SUBSTITUTE(A168,"_","")))),INDEX(SFactors,,4))*PreTenB+(C168-PreTenB)*_xlfn.XLOOKUP(1,(INDEX(SFactors,,2)=10^LEFT(A168,1))*(INDEX(SFactors,,3)=(LEN(A168)-LEN(SUBSTITUTE(A168,"_","")))),INDEX(SFactors,,5))</f>
        <v>#N/A</v>
      </c>
      <c r="AB168" s="25" t="e">
        <f t="shared" si="5"/>
        <v>#N/A</v>
      </c>
      <c r="AC168" s="2" t="e">
        <f t="array" ref="AC168">_xlfn.XLOOKUP(1,
    (INDEX(SFactors,,2)=10^LEFT(A168,1)) *
    (INDEX(SFactors,,3)=(LEN(A168)-LEN(SUBSTITUTE(A168,"_","")))),
    INDEX(SFactors,,4)
)</f>
        <v>#N/A</v>
      </c>
      <c r="AD168" s="3" t="e">
        <f t="array" ref="AD168">_xlfn.XLOOKUP(1,(INDEX(SFactors,,2)=10^LEFT(A168,1))*(INDEX(SFactors,,3)=(LEN(A168)-LEN(SUBSTITUTE(A168,"_","")))),INDEX(SFactors,,5))</f>
        <v>#N/A</v>
      </c>
      <c r="AE168" s="3" t="e">
        <f t="shared" si="15"/>
        <v>#N/A</v>
      </c>
    </row>
    <row r="169" spans="1:3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2"/>
      <c r="Q169" s="3">
        <f t="shared" si="14"/>
        <v>212</v>
      </c>
      <c r="R169" s="36">
        <f t="shared" si="16"/>
        <v>68</v>
      </c>
      <c r="S169"/>
      <c r="AA169" s="2" t="e">
        <f t="array" ref="AA169">_xlfn.XLOOKUP(1,(INDEX(SFactors,,2)=10^LEFT(A169,1))*(INDEX(SFactors,,3)=(LEN(A169)-LEN(SUBSTITUTE(A169,"_","")))),INDEX(SFactors,,4))*PreTenB+(C169-PreTenB)*_xlfn.XLOOKUP(1,(INDEX(SFactors,,2)=10^LEFT(A169,1))*(INDEX(SFactors,,3)=(LEN(A169)-LEN(SUBSTITUTE(A169,"_","")))),INDEX(SFactors,,5))</f>
        <v>#N/A</v>
      </c>
      <c r="AB169" s="25" t="e">
        <f t="shared" si="5"/>
        <v>#N/A</v>
      </c>
      <c r="AC169" s="2" t="e">
        <f t="array" ref="AC169">_xlfn.XLOOKUP(1,
    (INDEX(SFactors,,2)=10^LEFT(A169,1)) *
    (INDEX(SFactors,,3)=(LEN(A169)-LEN(SUBSTITUTE(A169,"_","")))),
    INDEX(SFactors,,4)
)</f>
        <v>#N/A</v>
      </c>
      <c r="AD169" s="3" t="e">
        <f t="array" ref="AD169">_xlfn.XLOOKUP(1,(INDEX(SFactors,,2)=10^LEFT(A169,1))*(INDEX(SFactors,,3)=(LEN(A169)-LEN(SUBSTITUTE(A169,"_","")))),INDEX(SFactors,,5))</f>
        <v>#N/A</v>
      </c>
      <c r="AE169" s="3" t="e">
        <f t="shared" si="15"/>
        <v>#N/A</v>
      </c>
    </row>
    <row r="170" spans="1:3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2"/>
      <c r="Q170" s="3">
        <f t="shared" si="14"/>
        <v>224</v>
      </c>
      <c r="R170" s="36">
        <f t="shared" si="16"/>
        <v>80</v>
      </c>
      <c r="S170"/>
      <c r="AA170" s="2" t="e">
        <f t="array" ref="AA170">_xlfn.XLOOKUP(1,(INDEX(SFactors,,2)=10^LEFT(A170,1))*(INDEX(SFactors,,3)=(LEN(A170)-LEN(SUBSTITUTE(A170,"_","")))),INDEX(SFactors,,4))*PreTenB+(C170-PreTenB)*_xlfn.XLOOKUP(1,(INDEX(SFactors,,2)=10^LEFT(A170,1))*(INDEX(SFactors,,3)=(LEN(A170)-LEN(SUBSTITUTE(A170,"_","")))),INDEX(SFactors,,5))</f>
        <v>#N/A</v>
      </c>
      <c r="AB170" s="25" t="e">
        <f t="shared" si="5"/>
        <v>#N/A</v>
      </c>
      <c r="AC170" s="2" t="e">
        <f t="array" ref="AC170">_xlfn.XLOOKUP(1,
    (INDEX(SFactors,,2)=10^LEFT(A170,1)) *
    (INDEX(SFactors,,3)=(LEN(A170)-LEN(SUBSTITUTE(A170,"_","")))),
    INDEX(SFactors,,4)
)</f>
        <v>#N/A</v>
      </c>
      <c r="AD170" s="3" t="e">
        <f t="array" ref="AD170">_xlfn.XLOOKUP(1,(INDEX(SFactors,,2)=10^LEFT(A170,1))*(INDEX(SFactors,,3)=(LEN(A170)-LEN(SUBSTITUTE(A170,"_","")))),INDEX(SFactors,,5))</f>
        <v>#N/A</v>
      </c>
      <c r="AE170" s="3" t="e">
        <f t="shared" si="15"/>
        <v>#N/A</v>
      </c>
    </row>
    <row r="171" spans="1:3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2"/>
      <c r="Q171" s="3">
        <f t="shared" si="14"/>
        <v>236</v>
      </c>
      <c r="R171" s="36">
        <f t="shared" si="16"/>
        <v>80</v>
      </c>
      <c r="S171"/>
      <c r="AA171" s="2" t="e">
        <f t="array" ref="AA171">_xlfn.XLOOKUP(1,(INDEX(SFactors,,2)=10^LEFT(A171,1))*(INDEX(SFactors,,3)=(LEN(A171)-LEN(SUBSTITUTE(A171,"_","")))),INDEX(SFactors,,4))*PreTenB+(C171-PreTenB)*_xlfn.XLOOKUP(1,(INDEX(SFactors,,2)=10^LEFT(A171,1))*(INDEX(SFactors,,3)=(LEN(A171)-LEN(SUBSTITUTE(A171,"_","")))),INDEX(SFactors,,5))</f>
        <v>#N/A</v>
      </c>
      <c r="AB171" s="25" t="e">
        <f t="shared" si="5"/>
        <v>#N/A</v>
      </c>
      <c r="AC171" s="2" t="e">
        <f t="array" ref="AC171">_xlfn.XLOOKUP(1,
    (INDEX(SFactors,,2)=10^LEFT(A171,1)) *
    (INDEX(SFactors,,3)=(LEN(A171)-LEN(SUBSTITUTE(A171,"_","")))),
    INDEX(SFactors,,4)
)</f>
        <v>#N/A</v>
      </c>
      <c r="AD171" s="3" t="e">
        <f t="array" ref="AD171">_xlfn.XLOOKUP(1,(INDEX(SFactors,,2)=10^LEFT(A171,1))*(INDEX(SFactors,,3)=(LEN(A171)-LEN(SUBSTITUTE(A171,"_","")))),INDEX(SFactors,,5))</f>
        <v>#N/A</v>
      </c>
      <c r="AE171" s="3" t="e">
        <f t="shared" si="15"/>
        <v>#N/A</v>
      </c>
    </row>
    <row r="172" spans="1:3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2"/>
      <c r="Q172" s="3">
        <f t="shared" si="14"/>
        <v>248</v>
      </c>
      <c r="R172" s="36">
        <f t="shared" si="16"/>
        <v>80</v>
      </c>
      <c r="S172"/>
      <c r="AA172" s="2" t="e">
        <f t="array" ref="AA172">_xlfn.XLOOKUP(1,(INDEX(SFactors,,2)=10^LEFT(A172,1))*(INDEX(SFactors,,3)=(LEN(A172)-LEN(SUBSTITUTE(A172,"_","")))),INDEX(SFactors,,4))*PreTenB+(C172-PreTenB)*_xlfn.XLOOKUP(1,(INDEX(SFactors,,2)=10^LEFT(A172,1))*(INDEX(SFactors,,3)=(LEN(A172)-LEN(SUBSTITUTE(A172,"_","")))),INDEX(SFactors,,5))</f>
        <v>#N/A</v>
      </c>
      <c r="AB172" s="25" t="e">
        <f t="shared" si="5"/>
        <v>#N/A</v>
      </c>
      <c r="AC172" s="2" t="e">
        <f t="array" ref="AC172">_xlfn.XLOOKUP(1,
    (INDEX(SFactors,,2)=10^LEFT(A172,1)) *
    (INDEX(SFactors,,3)=(LEN(A172)-LEN(SUBSTITUTE(A172,"_","")))),
    INDEX(SFactors,,4)
)</f>
        <v>#N/A</v>
      </c>
      <c r="AD172" s="3" t="e">
        <f t="array" ref="AD172">_xlfn.XLOOKUP(1,(INDEX(SFactors,,2)=10^LEFT(A172,1))*(INDEX(SFactors,,3)=(LEN(A172)-LEN(SUBSTITUTE(A172,"_","")))),INDEX(SFactors,,5))</f>
        <v>#N/A</v>
      </c>
      <c r="AE172" s="3" t="e">
        <f t="shared" si="15"/>
        <v>#N/A</v>
      </c>
    </row>
    <row r="173" spans="1:3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2"/>
      <c r="Q173" s="3">
        <f t="shared" si="14"/>
        <v>9</v>
      </c>
      <c r="R173" s="36">
        <f t="shared" si="16"/>
        <v>9</v>
      </c>
      <c r="S173"/>
      <c r="AA173" s="2" t="e">
        <f t="array" ref="AA173">_xlfn.XLOOKUP(1,(INDEX(SFactors,,2)=10^LEFT(A173,1))*(INDEX(SFactors,,3)=(LEN(A173)-LEN(SUBSTITUTE(A173,"_","")))),INDEX(SFactors,,4))*PreTenB+(C173-PreTenB)*_xlfn.XLOOKUP(1,(INDEX(SFactors,,2)=10^LEFT(A173,1))*(INDEX(SFactors,,3)=(LEN(A173)-LEN(SUBSTITUTE(A173,"_","")))),INDEX(SFactors,,5))</f>
        <v>#N/A</v>
      </c>
      <c r="AB173" s="25" t="e">
        <f t="shared" ref="AB173" si="20">AA173/MBL</f>
        <v>#N/A</v>
      </c>
      <c r="AC173" s="2" t="e">
        <f t="array" ref="AC173">_xlfn.XLOOKUP(1,
    (INDEX(SFactors,,2)=10^LEFT(A173,1)) *
    (INDEX(SFactors,,3)=(LEN(A173)-LEN(SUBSTITUTE(A173,"_","")))),
    INDEX(SFactors,,4)
)</f>
        <v>#N/A</v>
      </c>
      <c r="AD173" s="3" t="e">
        <f t="array" ref="AD173">_xlfn.XLOOKUP(1,(INDEX(SFactors,,2)=10^LEFT(A173,1))*(INDEX(SFactors,,3)=(LEN(A173)-LEN(SUBSTITUTE(A173,"_","")))),INDEX(SFactors,,5))</f>
        <v>#N/A</v>
      </c>
      <c r="AE173" s="3" t="e">
        <f t="shared" si="15"/>
        <v>#N/A</v>
      </c>
    </row>
    <row r="174" spans="1:3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2"/>
      <c r="Q174" s="3">
        <f t="shared" si="14"/>
        <v>21</v>
      </c>
      <c r="R174" s="36">
        <f t="shared" si="16"/>
        <v>9</v>
      </c>
      <c r="S174"/>
      <c r="AA174" s="2" t="e">
        <f t="array" ref="AA174">_xlfn.XLOOKUP(1,(INDEX(SFactors,,2)=10^LEFT(A174,1))*(INDEX(SFactors,,3)=(LEN(A174)-LEN(SUBSTITUTE(A174,"_","")))),INDEX(SFactors,,4))*PreTenB+(C174-PreTenB)*_xlfn.XLOOKUP(1,(INDEX(SFactors,,2)=10^LEFT(A174,1))*(INDEX(SFactors,,3)=(LEN(A174)-LEN(SUBSTITUTE(A174,"_","")))),INDEX(SFactors,,5))</f>
        <v>#N/A</v>
      </c>
      <c r="AB174" s="25" t="e">
        <f t="shared" si="5"/>
        <v>#N/A</v>
      </c>
      <c r="AC174" s="2" t="e">
        <f t="array" ref="AC174">_xlfn.XLOOKUP(1,
    (INDEX(SFactors,,2)=10^LEFT(A174,1)) *
    (INDEX(SFactors,,3)=(LEN(A174)-LEN(SUBSTITUTE(A174,"_","")))),
    INDEX(SFactors,,4)
)</f>
        <v>#N/A</v>
      </c>
      <c r="AD174" s="3" t="e">
        <f t="array" ref="AD174">_xlfn.XLOOKUP(1,(INDEX(SFactors,,2)=10^LEFT(A174,1))*(INDEX(SFactors,,3)=(LEN(A174)-LEN(SUBSTITUTE(A174,"_","")))),INDEX(SFactors,,5))</f>
        <v>#N/A</v>
      </c>
      <c r="AE174" s="3" t="e">
        <f t="shared" si="15"/>
        <v>#N/A</v>
      </c>
    </row>
    <row r="175" spans="1:3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2"/>
      <c r="Q175" s="3">
        <f t="shared" si="14"/>
        <v>33</v>
      </c>
      <c r="R175" s="36">
        <f t="shared" si="16"/>
        <v>9</v>
      </c>
      <c r="S175"/>
      <c r="AA175" s="2" t="e">
        <f t="array" ref="AA175">_xlfn.XLOOKUP(1,(INDEX(SFactors,,2)=10^LEFT(A175,1))*(INDEX(SFactors,,3)=(LEN(A175)-LEN(SUBSTITUTE(A175,"_","")))),INDEX(SFactors,,4))*PreTenB+(C175-PreTenB)*_xlfn.XLOOKUP(1,(INDEX(SFactors,,2)=10^LEFT(A175,1))*(INDEX(SFactors,,3)=(LEN(A175)-LEN(SUBSTITUTE(A175,"_","")))),INDEX(SFactors,,5))</f>
        <v>#N/A</v>
      </c>
      <c r="AB175" s="25" t="e">
        <f t="shared" si="5"/>
        <v>#N/A</v>
      </c>
      <c r="AC175" s="2" t="e">
        <f t="array" ref="AC175">_xlfn.XLOOKUP(1,
    (INDEX(SFactors,,2)=10^LEFT(A175,1)) *
    (INDEX(SFactors,,3)=(LEN(A175)-LEN(SUBSTITUTE(A175,"_","")))),
    INDEX(SFactors,,4)
)</f>
        <v>#N/A</v>
      </c>
      <c r="AD175" s="3" t="e">
        <f t="array" ref="AD175">_xlfn.XLOOKUP(1,(INDEX(SFactors,,2)=10^LEFT(A175,1))*(INDEX(SFactors,,3)=(LEN(A175)-LEN(SUBSTITUTE(A175,"_","")))),INDEX(SFactors,,5))</f>
        <v>#N/A</v>
      </c>
      <c r="AE175" s="3" t="e">
        <f t="shared" si="15"/>
        <v>#N/A</v>
      </c>
    </row>
    <row r="176" spans="1:3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2"/>
      <c r="Q176" s="3">
        <f t="shared" si="14"/>
        <v>45</v>
      </c>
      <c r="R176" s="36">
        <f t="shared" si="16"/>
        <v>21</v>
      </c>
      <c r="S176"/>
      <c r="AA176" s="2" t="e">
        <f t="array" ref="AA176">_xlfn.XLOOKUP(1,(INDEX(SFactors,,2)=10^LEFT(A176,1))*(INDEX(SFactors,,3)=(LEN(A176)-LEN(SUBSTITUTE(A176,"_","")))),INDEX(SFactors,,4))*PreTenB+(C176-PreTenB)*_xlfn.XLOOKUP(1,(INDEX(SFactors,,2)=10^LEFT(A176,1))*(INDEX(SFactors,,3)=(LEN(A176)-LEN(SUBSTITUTE(A176,"_","")))),INDEX(SFactors,,5))</f>
        <v>#N/A</v>
      </c>
      <c r="AB176" s="25" t="e">
        <f t="shared" si="5"/>
        <v>#N/A</v>
      </c>
      <c r="AC176" s="2" t="e">
        <f t="array" ref="AC176">_xlfn.XLOOKUP(1,
    (INDEX(SFactors,,2)=10^LEFT(A176,1)) *
    (INDEX(SFactors,,3)=(LEN(A176)-LEN(SUBSTITUTE(A176,"_","")))),
    INDEX(SFactors,,4)
)</f>
        <v>#N/A</v>
      </c>
      <c r="AD176" s="3" t="e">
        <f t="array" ref="AD176">_xlfn.XLOOKUP(1,(INDEX(SFactors,,2)=10^LEFT(A176,1))*(INDEX(SFactors,,3)=(LEN(A176)-LEN(SUBSTITUTE(A176,"_","")))),INDEX(SFactors,,5))</f>
        <v>#N/A</v>
      </c>
      <c r="AE176" s="3" t="e">
        <f t="shared" si="15"/>
        <v>#N/A</v>
      </c>
    </row>
    <row r="177" spans="1:3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2"/>
      <c r="Q177" s="3">
        <f t="shared" si="14"/>
        <v>57</v>
      </c>
      <c r="R177" s="36">
        <f t="shared" si="16"/>
        <v>21</v>
      </c>
      <c r="S177"/>
      <c r="AA177" s="2" t="e">
        <f t="array" ref="AA177">_xlfn.XLOOKUP(1,(INDEX(SFactors,,2)=10^LEFT(A177,1))*(INDEX(SFactors,,3)=(LEN(A177)-LEN(SUBSTITUTE(A177,"_","")))),INDEX(SFactors,,4))*PreTenB+(C177-PreTenB)*_xlfn.XLOOKUP(1,(INDEX(SFactors,,2)=10^LEFT(A177,1))*(INDEX(SFactors,,3)=(LEN(A177)-LEN(SUBSTITUTE(A177,"_","")))),INDEX(SFactors,,5))</f>
        <v>#N/A</v>
      </c>
      <c r="AB177" s="25" t="e">
        <f t="shared" si="5"/>
        <v>#N/A</v>
      </c>
      <c r="AC177" s="2" t="e">
        <f t="array" ref="AC177">_xlfn.XLOOKUP(1,
    (INDEX(SFactors,,2)=10^LEFT(A177,1)) *
    (INDEX(SFactors,,3)=(LEN(A177)-LEN(SUBSTITUTE(A177,"_","")))),
    INDEX(SFactors,,4)
)</f>
        <v>#N/A</v>
      </c>
      <c r="AD177" s="3" t="e">
        <f t="array" ref="AD177">_xlfn.XLOOKUP(1,(INDEX(SFactors,,2)=10^LEFT(A177,1))*(INDEX(SFactors,,3)=(LEN(A177)-LEN(SUBSTITUTE(A177,"_","")))),INDEX(SFactors,,5))</f>
        <v>#N/A</v>
      </c>
      <c r="AE177" s="3" t="e">
        <f t="shared" si="15"/>
        <v>#N/A</v>
      </c>
    </row>
    <row r="178" spans="1:3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2"/>
      <c r="Q178" s="3">
        <f t="shared" si="14"/>
        <v>69</v>
      </c>
      <c r="R178" s="36">
        <f t="shared" si="16"/>
        <v>21</v>
      </c>
      <c r="S178"/>
      <c r="AA178" s="2" t="e">
        <f t="array" ref="AA178">_xlfn.XLOOKUP(1,(INDEX(SFactors,,2)=10^LEFT(A178,1))*(INDEX(SFactors,,3)=(LEN(A178)-LEN(SUBSTITUTE(A178,"_","")))),INDEX(SFactors,,4))*PreTenB+(C178-PreTenB)*_xlfn.XLOOKUP(1,(INDEX(SFactors,,2)=10^LEFT(A178,1))*(INDEX(SFactors,,3)=(LEN(A178)-LEN(SUBSTITUTE(A178,"_","")))),INDEX(SFactors,,5))</f>
        <v>#N/A</v>
      </c>
      <c r="AB178" s="25" t="e">
        <f t="shared" si="5"/>
        <v>#N/A</v>
      </c>
      <c r="AC178" s="2" t="e">
        <f t="array" ref="AC178">_xlfn.XLOOKUP(1,
    (INDEX(SFactors,,2)=10^LEFT(A178,1)) *
    (INDEX(SFactors,,3)=(LEN(A178)-LEN(SUBSTITUTE(A178,"_","")))),
    INDEX(SFactors,,4)
)</f>
        <v>#N/A</v>
      </c>
      <c r="AD178" s="3" t="e">
        <f t="array" ref="AD178">_xlfn.XLOOKUP(1,(INDEX(SFactors,,2)=10^LEFT(A178,1))*(INDEX(SFactors,,3)=(LEN(A178)-LEN(SUBSTITUTE(A178,"_","")))),INDEX(SFactors,,5))</f>
        <v>#N/A</v>
      </c>
      <c r="AE178" s="3" t="e">
        <f t="shared" si="15"/>
        <v>#N/A</v>
      </c>
    </row>
    <row r="179" spans="1:3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2"/>
      <c r="Q179" s="3">
        <f t="shared" si="14"/>
        <v>81</v>
      </c>
      <c r="R179" s="36">
        <f t="shared" si="16"/>
        <v>33</v>
      </c>
      <c r="S179"/>
      <c r="AA179" s="2" t="e">
        <f t="array" ref="AA179">_xlfn.XLOOKUP(1,(INDEX(SFactors,,2)=10^LEFT(A179,1))*(INDEX(SFactors,,3)=(LEN(A179)-LEN(SUBSTITUTE(A179,"_","")))),INDEX(SFactors,,4))*PreTenB+(C179-PreTenB)*_xlfn.XLOOKUP(1,(INDEX(SFactors,,2)=10^LEFT(A179,1))*(INDEX(SFactors,,3)=(LEN(A179)-LEN(SUBSTITUTE(A179,"_","")))),INDEX(SFactors,,5))</f>
        <v>#N/A</v>
      </c>
      <c r="AB179" s="25" t="e">
        <f t="shared" si="5"/>
        <v>#N/A</v>
      </c>
      <c r="AC179" s="2" t="e">
        <f t="array" ref="AC179">_xlfn.XLOOKUP(1,
    (INDEX(SFactors,,2)=10^LEFT(A179,1)) *
    (INDEX(SFactors,,3)=(LEN(A179)-LEN(SUBSTITUTE(A179,"_","")))),
    INDEX(SFactors,,4)
)</f>
        <v>#N/A</v>
      </c>
      <c r="AD179" s="3" t="e">
        <f t="array" ref="AD179">_xlfn.XLOOKUP(1,(INDEX(SFactors,,2)=10^LEFT(A179,1))*(INDEX(SFactors,,3)=(LEN(A179)-LEN(SUBSTITUTE(A179,"_","")))),INDEX(SFactors,,5))</f>
        <v>#N/A</v>
      </c>
      <c r="AE179" s="3" t="e">
        <f t="shared" si="15"/>
        <v>#N/A</v>
      </c>
    </row>
    <row r="180" spans="1:3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2"/>
      <c r="Q180" s="3">
        <f t="shared" si="14"/>
        <v>93</v>
      </c>
      <c r="R180" s="36">
        <f t="shared" si="16"/>
        <v>33</v>
      </c>
      <c r="S180"/>
      <c r="AA180" s="2" t="e">
        <f t="array" ref="AA180">_xlfn.XLOOKUP(1,(INDEX(SFactors,,2)=10^LEFT(A180,1))*(INDEX(SFactors,,3)=(LEN(A180)-LEN(SUBSTITUTE(A180,"_","")))),INDEX(SFactors,,4))*PreTenB+(C180-PreTenB)*_xlfn.XLOOKUP(1,(INDEX(SFactors,,2)=10^LEFT(A180,1))*(INDEX(SFactors,,3)=(LEN(A180)-LEN(SUBSTITUTE(A180,"_","")))),INDEX(SFactors,,5))</f>
        <v>#N/A</v>
      </c>
      <c r="AB180" s="25" t="e">
        <f t="shared" si="5"/>
        <v>#N/A</v>
      </c>
      <c r="AC180" s="2" t="e">
        <f t="array" ref="AC180">_xlfn.XLOOKUP(1,
    (INDEX(SFactors,,2)=10^LEFT(A180,1)) *
    (INDEX(SFactors,,3)=(LEN(A180)-LEN(SUBSTITUTE(A180,"_","")))),
    INDEX(SFactors,,4)
)</f>
        <v>#N/A</v>
      </c>
      <c r="AD180" s="3" t="e">
        <f t="array" ref="AD180">_xlfn.XLOOKUP(1,(INDEX(SFactors,,2)=10^LEFT(A180,1))*(INDEX(SFactors,,3)=(LEN(A180)-LEN(SUBSTITUTE(A180,"_","")))),INDEX(SFactors,,5))</f>
        <v>#N/A</v>
      </c>
      <c r="AE180" s="3" t="e">
        <f t="shared" si="15"/>
        <v>#N/A</v>
      </c>
    </row>
    <row r="181" spans="1:3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2"/>
      <c r="Q181" s="3">
        <f t="shared" si="14"/>
        <v>105</v>
      </c>
      <c r="R181" s="36">
        <f t="shared" si="16"/>
        <v>33</v>
      </c>
      <c r="S181"/>
      <c r="AA181" s="2" t="e">
        <f t="array" ref="AA181">_xlfn.XLOOKUP(1,(INDEX(SFactors,,2)=10^LEFT(A181,1))*(INDEX(SFactors,,3)=(LEN(A181)-LEN(SUBSTITUTE(A181,"_","")))),INDEX(SFactors,,4))*PreTenB+(C181-PreTenB)*_xlfn.XLOOKUP(1,(INDEX(SFactors,,2)=10^LEFT(A181,1))*(INDEX(SFactors,,3)=(LEN(A181)-LEN(SUBSTITUTE(A181,"_","")))),INDEX(SFactors,,5))</f>
        <v>#N/A</v>
      </c>
      <c r="AB181" s="25" t="e">
        <f t="shared" si="5"/>
        <v>#N/A</v>
      </c>
      <c r="AC181" s="2" t="e">
        <f t="array" ref="AC181">_xlfn.XLOOKUP(1,
    (INDEX(SFactors,,2)=10^LEFT(A181,1)) *
    (INDEX(SFactors,,3)=(LEN(A181)-LEN(SUBSTITUTE(A181,"_","")))),
    INDEX(SFactors,,4)
)</f>
        <v>#N/A</v>
      </c>
      <c r="AD181" s="3" t="e">
        <f t="array" ref="AD181">_xlfn.XLOOKUP(1,(INDEX(SFactors,,2)=10^LEFT(A181,1))*(INDEX(SFactors,,3)=(LEN(A181)-LEN(SUBSTITUTE(A181,"_","")))),INDEX(SFactors,,5))</f>
        <v>#N/A</v>
      </c>
      <c r="AE181" s="3" t="e">
        <f t="shared" si="15"/>
        <v>#N/A</v>
      </c>
    </row>
    <row r="182" spans="1:3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2"/>
      <c r="Q182" s="3">
        <f t="shared" si="14"/>
        <v>117</v>
      </c>
      <c r="R182" s="36">
        <f t="shared" si="16"/>
        <v>45</v>
      </c>
      <c r="S182"/>
      <c r="AA182" s="2" t="e">
        <f t="array" ref="AA182">_xlfn.XLOOKUP(1,(INDEX(SFactors,,2)=10^LEFT(A182,1))*(INDEX(SFactors,,3)=(LEN(A182)-LEN(SUBSTITUTE(A182,"_","")))),INDEX(SFactors,,4))*PreTenB+(C182-PreTenB)*_xlfn.XLOOKUP(1,(INDEX(SFactors,,2)=10^LEFT(A182,1))*(INDEX(SFactors,,3)=(LEN(A182)-LEN(SUBSTITUTE(A182,"_","")))),INDEX(SFactors,,5))</f>
        <v>#N/A</v>
      </c>
      <c r="AB182" s="25" t="e">
        <f t="shared" si="5"/>
        <v>#N/A</v>
      </c>
      <c r="AC182" s="2" t="e">
        <f t="array" ref="AC182">_xlfn.XLOOKUP(1,
    (INDEX(SFactors,,2)=10^LEFT(A182,1)) *
    (INDEX(SFactors,,3)=(LEN(A182)-LEN(SUBSTITUTE(A182,"_","")))),
    INDEX(SFactors,,4)
)</f>
        <v>#N/A</v>
      </c>
      <c r="AD182" s="3" t="e">
        <f t="array" ref="AD182">_xlfn.XLOOKUP(1,(INDEX(SFactors,,2)=10^LEFT(A182,1))*(INDEX(SFactors,,3)=(LEN(A182)-LEN(SUBSTITUTE(A182,"_","")))),INDEX(SFactors,,5))</f>
        <v>#N/A</v>
      </c>
      <c r="AE182" s="3" t="e">
        <f t="shared" si="15"/>
        <v>#N/A</v>
      </c>
    </row>
    <row r="183" spans="1:3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2"/>
      <c r="Q183" s="3">
        <f t="shared" si="14"/>
        <v>129</v>
      </c>
      <c r="R183" s="36">
        <f t="shared" si="16"/>
        <v>45</v>
      </c>
      <c r="S183"/>
      <c r="AA183" s="2" t="e">
        <f t="array" ref="AA183">_xlfn.XLOOKUP(1,(INDEX(SFactors,,2)=10^LEFT(A183,1))*(INDEX(SFactors,,3)=(LEN(A183)-LEN(SUBSTITUTE(A183,"_","")))),INDEX(SFactors,,4))*PreTenB+(C183-PreTenB)*_xlfn.XLOOKUP(1,(INDEX(SFactors,,2)=10^LEFT(A183,1))*(INDEX(SFactors,,3)=(LEN(A183)-LEN(SUBSTITUTE(A183,"_","")))),INDEX(SFactors,,5))</f>
        <v>#N/A</v>
      </c>
      <c r="AB183" s="25" t="e">
        <f t="shared" si="5"/>
        <v>#N/A</v>
      </c>
      <c r="AC183" s="2" t="e">
        <f t="array" ref="AC183">_xlfn.XLOOKUP(1,
    (INDEX(SFactors,,2)=10^LEFT(A183,1)) *
    (INDEX(SFactors,,3)=(LEN(A183)-LEN(SUBSTITUTE(A183,"_","")))),
    INDEX(SFactors,,4)
)</f>
        <v>#N/A</v>
      </c>
      <c r="AD183" s="3" t="e">
        <f t="array" ref="AD183">_xlfn.XLOOKUP(1,(INDEX(SFactors,,2)=10^LEFT(A183,1))*(INDEX(SFactors,,3)=(LEN(A183)-LEN(SUBSTITUTE(A183,"_","")))),INDEX(SFactors,,5))</f>
        <v>#N/A</v>
      </c>
      <c r="AE183" s="3" t="e">
        <f t="shared" si="15"/>
        <v>#N/A</v>
      </c>
    </row>
    <row r="184" spans="1:3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2"/>
      <c r="Q184" s="3">
        <f t="shared" si="14"/>
        <v>141</v>
      </c>
      <c r="R184" s="36">
        <f t="shared" si="16"/>
        <v>45</v>
      </c>
      <c r="S184"/>
      <c r="AA184" s="2" t="e">
        <f t="array" ref="AA184">_xlfn.XLOOKUP(1,(INDEX(SFactors,,2)=10^LEFT(A184,1))*(INDEX(SFactors,,3)=(LEN(A184)-LEN(SUBSTITUTE(A184,"_","")))),INDEX(SFactors,,4))*PreTenB+(C184-PreTenB)*_xlfn.XLOOKUP(1,(INDEX(SFactors,,2)=10^LEFT(A184,1))*(INDEX(SFactors,,3)=(LEN(A184)-LEN(SUBSTITUTE(A184,"_","")))),INDEX(SFactors,,5))</f>
        <v>#N/A</v>
      </c>
      <c r="AB184" s="25" t="e">
        <f t="shared" si="5"/>
        <v>#N/A</v>
      </c>
      <c r="AC184" s="2" t="e">
        <f t="array" ref="AC184">_xlfn.XLOOKUP(1,
    (INDEX(SFactors,,2)=10^LEFT(A184,1)) *
    (INDEX(SFactors,,3)=(LEN(A184)-LEN(SUBSTITUTE(A184,"_","")))),
    INDEX(SFactors,,4)
)</f>
        <v>#N/A</v>
      </c>
      <c r="AD184" s="3" t="e">
        <f t="array" ref="AD184">_xlfn.XLOOKUP(1,(INDEX(SFactors,,2)=10^LEFT(A184,1))*(INDEX(SFactors,,3)=(LEN(A184)-LEN(SUBSTITUTE(A184,"_","")))),INDEX(SFactors,,5))</f>
        <v>#N/A</v>
      </c>
      <c r="AE184" s="3" t="e">
        <f t="shared" si="15"/>
        <v>#N/A</v>
      </c>
    </row>
    <row r="185" spans="1:3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2"/>
      <c r="Q185" s="3">
        <f t="shared" si="14"/>
        <v>153</v>
      </c>
      <c r="R185" s="36">
        <f t="shared" si="16"/>
        <v>57</v>
      </c>
      <c r="S185"/>
      <c r="AA185" s="2" t="e">
        <f t="array" ref="AA185">_xlfn.XLOOKUP(1,(INDEX(SFactors,,2)=10^LEFT(A185,1))*(INDEX(SFactors,,3)=(LEN(A185)-LEN(SUBSTITUTE(A185,"_","")))),INDEX(SFactors,,4))*PreTenB+(C185-PreTenB)*_xlfn.XLOOKUP(1,(INDEX(SFactors,,2)=10^LEFT(A185,1))*(INDEX(SFactors,,3)=(LEN(A185)-LEN(SUBSTITUTE(A185,"_","")))),INDEX(SFactors,,5))</f>
        <v>#N/A</v>
      </c>
      <c r="AB185" s="25" t="e">
        <f t="shared" ref="AB185" si="21">AA185/MBL</f>
        <v>#N/A</v>
      </c>
      <c r="AC185" s="2" t="e">
        <f t="array" ref="AC185">_xlfn.XLOOKUP(1,
    (INDEX(SFactors,,2)=10^LEFT(A185,1)) *
    (INDEX(SFactors,,3)=(LEN(A185)-LEN(SUBSTITUTE(A185,"_","")))),
    INDEX(SFactors,,4)
)</f>
        <v>#N/A</v>
      </c>
      <c r="AD185" s="3" t="e">
        <f t="array" ref="AD185">_xlfn.XLOOKUP(1,(INDEX(SFactors,,2)=10^LEFT(A185,1))*(INDEX(SFactors,,3)=(LEN(A185)-LEN(SUBSTITUTE(A185,"_","")))),INDEX(SFactors,,5))</f>
        <v>#N/A</v>
      </c>
      <c r="AE185" s="3" t="e">
        <f t="shared" si="15"/>
        <v>#N/A</v>
      </c>
    </row>
    <row r="186" spans="1:3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2"/>
      <c r="Q186" s="3">
        <f t="shared" si="14"/>
        <v>165</v>
      </c>
      <c r="R186" s="36">
        <f t="shared" si="16"/>
        <v>57</v>
      </c>
      <c r="S186"/>
      <c r="AA186" s="2" t="e">
        <f t="array" ref="AA186">_xlfn.XLOOKUP(1,(INDEX(SFactors,,2)=10^LEFT(A186,1))*(INDEX(SFactors,,3)=(LEN(A186)-LEN(SUBSTITUTE(A186,"_","")))),INDEX(SFactors,,4))*PreTenB+(C186-PreTenB)*_xlfn.XLOOKUP(1,(INDEX(SFactors,,2)=10^LEFT(A186,1))*(INDEX(SFactors,,3)=(LEN(A186)-LEN(SUBSTITUTE(A186,"_","")))),INDEX(SFactors,,5))</f>
        <v>#N/A</v>
      </c>
      <c r="AB186" s="25" t="e">
        <f t="shared" si="5"/>
        <v>#N/A</v>
      </c>
      <c r="AC186" s="2" t="e">
        <f t="array" ref="AC186">_xlfn.XLOOKUP(1,
    (INDEX(SFactors,,2)=10^LEFT(A186,1)) *
    (INDEX(SFactors,,3)=(LEN(A186)-LEN(SUBSTITUTE(A186,"_","")))),
    INDEX(SFactors,,4)
)</f>
        <v>#N/A</v>
      </c>
      <c r="AD186" s="3" t="e">
        <f t="array" ref="AD186">_xlfn.XLOOKUP(1,(INDEX(SFactors,,2)=10^LEFT(A186,1))*(INDEX(SFactors,,3)=(LEN(A186)-LEN(SUBSTITUTE(A186,"_","")))),INDEX(SFactors,,5))</f>
        <v>#N/A</v>
      </c>
      <c r="AE186" s="3" t="e">
        <f t="shared" si="15"/>
        <v>#N/A</v>
      </c>
    </row>
    <row r="187" spans="1:3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2"/>
      <c r="Q187" s="3">
        <f t="shared" si="14"/>
        <v>177</v>
      </c>
      <c r="R187" s="36">
        <f t="shared" si="16"/>
        <v>57</v>
      </c>
      <c r="S187"/>
      <c r="AA187" s="2" t="e">
        <f t="array" ref="AA187">_xlfn.XLOOKUP(1,(INDEX(SFactors,,2)=10^LEFT(A187,1))*(INDEX(SFactors,,3)=(LEN(A187)-LEN(SUBSTITUTE(A187,"_","")))),INDEX(SFactors,,4))*PreTenB+(C187-PreTenB)*_xlfn.XLOOKUP(1,(INDEX(SFactors,,2)=10^LEFT(A187,1))*(INDEX(SFactors,,3)=(LEN(A187)-LEN(SUBSTITUTE(A187,"_","")))),INDEX(SFactors,,5))</f>
        <v>#N/A</v>
      </c>
      <c r="AB187" s="25" t="e">
        <f t="shared" si="5"/>
        <v>#N/A</v>
      </c>
      <c r="AC187" s="2" t="e">
        <f t="array" ref="AC187">_xlfn.XLOOKUP(1,
    (INDEX(SFactors,,2)=10^LEFT(A187,1)) *
    (INDEX(SFactors,,3)=(LEN(A187)-LEN(SUBSTITUTE(A187,"_","")))),
    INDEX(SFactors,,4)
)</f>
        <v>#N/A</v>
      </c>
      <c r="AD187" s="3" t="e">
        <f t="array" ref="AD187">_xlfn.XLOOKUP(1,(INDEX(SFactors,,2)=10^LEFT(A187,1))*(INDEX(SFactors,,3)=(LEN(A187)-LEN(SUBSTITUTE(A187,"_","")))),INDEX(SFactors,,5))</f>
        <v>#N/A</v>
      </c>
      <c r="AE187" s="3" t="e">
        <f t="shared" si="15"/>
        <v>#N/A</v>
      </c>
    </row>
    <row r="188" spans="1:3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2"/>
      <c r="Q188" s="3">
        <f t="shared" si="14"/>
        <v>189</v>
      </c>
      <c r="R188" s="36">
        <f t="shared" si="16"/>
        <v>69</v>
      </c>
      <c r="S188"/>
      <c r="AA188" s="2" t="e">
        <f t="array" ref="AA188">_xlfn.XLOOKUP(1,(INDEX(SFactors,,2)=10^LEFT(A188,1))*(INDEX(SFactors,,3)=(LEN(A188)-LEN(SUBSTITUTE(A188,"_","")))),INDEX(SFactors,,4))*PreTenB+(C188-PreTenB)*_xlfn.XLOOKUP(1,(INDEX(SFactors,,2)=10^LEFT(A188,1))*(INDEX(SFactors,,3)=(LEN(A188)-LEN(SUBSTITUTE(A188,"_","")))),INDEX(SFactors,,5))</f>
        <v>#N/A</v>
      </c>
      <c r="AB188" s="25" t="e">
        <f t="shared" si="5"/>
        <v>#N/A</v>
      </c>
      <c r="AC188" s="2" t="e">
        <f t="array" ref="AC188">_xlfn.XLOOKUP(1,
    (INDEX(SFactors,,2)=10^LEFT(A188,1)) *
    (INDEX(SFactors,,3)=(LEN(A188)-LEN(SUBSTITUTE(A188,"_","")))),
    INDEX(SFactors,,4)
)</f>
        <v>#N/A</v>
      </c>
      <c r="AD188" s="3" t="e">
        <f t="array" ref="AD188">_xlfn.XLOOKUP(1,(INDEX(SFactors,,2)=10^LEFT(A188,1))*(INDEX(SFactors,,3)=(LEN(A188)-LEN(SUBSTITUTE(A188,"_","")))),INDEX(SFactors,,5))</f>
        <v>#N/A</v>
      </c>
      <c r="AE188" s="3" t="e">
        <f t="shared" si="15"/>
        <v>#N/A</v>
      </c>
    </row>
    <row r="189" spans="1:3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2"/>
      <c r="Q189" s="3">
        <f t="shared" si="14"/>
        <v>201</v>
      </c>
      <c r="R189" s="36">
        <f t="shared" si="16"/>
        <v>69</v>
      </c>
      <c r="S189"/>
      <c r="AA189" s="2" t="e">
        <f t="array" ref="AA189">_xlfn.XLOOKUP(1,(INDEX(SFactors,,2)=10^LEFT(A189,1))*(INDEX(SFactors,,3)=(LEN(A189)-LEN(SUBSTITUTE(A189,"_","")))),INDEX(SFactors,,4))*PreTenB+(C189-PreTenB)*_xlfn.XLOOKUP(1,(INDEX(SFactors,,2)=10^LEFT(A189,1))*(INDEX(SFactors,,3)=(LEN(A189)-LEN(SUBSTITUTE(A189,"_","")))),INDEX(SFactors,,5))</f>
        <v>#N/A</v>
      </c>
      <c r="AB189" s="25" t="e">
        <f t="shared" si="5"/>
        <v>#N/A</v>
      </c>
      <c r="AC189" s="2" t="e">
        <f t="array" ref="AC189">_xlfn.XLOOKUP(1,
    (INDEX(SFactors,,2)=10^LEFT(A189,1)) *
    (INDEX(SFactors,,3)=(LEN(A189)-LEN(SUBSTITUTE(A189,"_","")))),
    INDEX(SFactors,,4)
)</f>
        <v>#N/A</v>
      </c>
      <c r="AD189" s="3" t="e">
        <f t="array" ref="AD189">_xlfn.XLOOKUP(1,(INDEX(SFactors,,2)=10^LEFT(A189,1))*(INDEX(SFactors,,3)=(LEN(A189)-LEN(SUBSTITUTE(A189,"_","")))),INDEX(SFactors,,5))</f>
        <v>#N/A</v>
      </c>
      <c r="AE189" s="3" t="e">
        <f t="shared" si="15"/>
        <v>#N/A</v>
      </c>
    </row>
    <row r="190" spans="1:3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2"/>
      <c r="Q190" s="3">
        <f t="shared" si="14"/>
        <v>213</v>
      </c>
      <c r="R190" s="36">
        <f t="shared" si="16"/>
        <v>69</v>
      </c>
      <c r="S190"/>
      <c r="AA190" s="2" t="e">
        <f t="array" ref="AA190">_xlfn.XLOOKUP(1,(INDEX(SFactors,,2)=10^LEFT(A190,1))*(INDEX(SFactors,,3)=(LEN(A190)-LEN(SUBSTITUTE(A190,"_","")))),INDEX(SFactors,,4))*PreTenB+(C190-PreTenB)*_xlfn.XLOOKUP(1,(INDEX(SFactors,,2)=10^LEFT(A190,1))*(INDEX(SFactors,,3)=(LEN(A190)-LEN(SUBSTITUTE(A190,"_","")))),INDEX(SFactors,,5))</f>
        <v>#N/A</v>
      </c>
      <c r="AB190" s="25" t="e">
        <f t="shared" si="5"/>
        <v>#N/A</v>
      </c>
      <c r="AC190" s="2" t="e">
        <f t="array" ref="AC190">_xlfn.XLOOKUP(1,
    (INDEX(SFactors,,2)=10^LEFT(A190,1)) *
    (INDEX(SFactors,,3)=(LEN(A190)-LEN(SUBSTITUTE(A190,"_","")))),
    INDEX(SFactors,,4)
)</f>
        <v>#N/A</v>
      </c>
      <c r="AD190" s="3" t="e">
        <f t="array" ref="AD190">_xlfn.XLOOKUP(1,(INDEX(SFactors,,2)=10^LEFT(A190,1))*(INDEX(SFactors,,3)=(LEN(A190)-LEN(SUBSTITUTE(A190,"_","")))),INDEX(SFactors,,5))</f>
        <v>#N/A</v>
      </c>
      <c r="AE190" s="3" t="e">
        <f t="shared" si="15"/>
        <v>#N/A</v>
      </c>
    </row>
    <row r="191" spans="1:3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2"/>
      <c r="Q191" s="3">
        <f t="shared" si="14"/>
        <v>225</v>
      </c>
      <c r="R191" s="36">
        <f t="shared" si="16"/>
        <v>81</v>
      </c>
      <c r="S191"/>
      <c r="AA191" s="2" t="e">
        <f t="array" ref="AA191">_xlfn.XLOOKUP(1,(INDEX(SFactors,,2)=10^LEFT(A191,1))*(INDEX(SFactors,,3)=(LEN(A191)-LEN(SUBSTITUTE(A191,"_","")))),INDEX(SFactors,,4))*PreTenB+(C191-PreTenB)*_xlfn.XLOOKUP(1,(INDEX(SFactors,,2)=10^LEFT(A191,1))*(INDEX(SFactors,,3)=(LEN(A191)-LEN(SUBSTITUTE(A191,"_","")))),INDEX(SFactors,,5))</f>
        <v>#N/A</v>
      </c>
      <c r="AB191" s="25" t="e">
        <f t="shared" si="5"/>
        <v>#N/A</v>
      </c>
      <c r="AC191" s="2" t="e">
        <f t="array" ref="AC191">_xlfn.XLOOKUP(1,
    (INDEX(SFactors,,2)=10^LEFT(A191,1)) *
    (INDEX(SFactors,,3)=(LEN(A191)-LEN(SUBSTITUTE(A191,"_","")))),
    INDEX(SFactors,,4)
)</f>
        <v>#N/A</v>
      </c>
      <c r="AD191" s="3" t="e">
        <f t="array" ref="AD191">_xlfn.XLOOKUP(1,(INDEX(SFactors,,2)=10^LEFT(A191,1))*(INDEX(SFactors,,3)=(LEN(A191)-LEN(SUBSTITUTE(A191,"_","")))),INDEX(SFactors,,5))</f>
        <v>#N/A</v>
      </c>
      <c r="AE191" s="3" t="e">
        <f t="shared" si="15"/>
        <v>#N/A</v>
      </c>
    </row>
    <row r="192" spans="1:3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2"/>
      <c r="Q192" s="3">
        <f t="shared" si="14"/>
        <v>237</v>
      </c>
      <c r="R192" s="36">
        <f t="shared" si="16"/>
        <v>81</v>
      </c>
      <c r="S192"/>
      <c r="AA192" s="2" t="e">
        <f t="array" ref="AA192">_xlfn.XLOOKUP(1,(INDEX(SFactors,,2)=10^LEFT(A192,1))*(INDEX(SFactors,,3)=(LEN(A192)-LEN(SUBSTITUTE(A192,"_","")))),INDEX(SFactors,,4))*PreTenB+(C192-PreTenB)*_xlfn.XLOOKUP(1,(INDEX(SFactors,,2)=10^LEFT(A192,1))*(INDEX(SFactors,,3)=(LEN(A192)-LEN(SUBSTITUTE(A192,"_","")))),INDEX(SFactors,,5))</f>
        <v>#N/A</v>
      </c>
      <c r="AB192" s="25" t="e">
        <f t="shared" si="5"/>
        <v>#N/A</v>
      </c>
      <c r="AC192" s="2" t="e">
        <f t="array" ref="AC192">_xlfn.XLOOKUP(1,
    (INDEX(SFactors,,2)=10^LEFT(A192,1)) *
    (INDEX(SFactors,,3)=(LEN(A192)-LEN(SUBSTITUTE(A192,"_","")))),
    INDEX(SFactors,,4)
)</f>
        <v>#N/A</v>
      </c>
      <c r="AD192" s="3" t="e">
        <f t="array" ref="AD192">_xlfn.XLOOKUP(1,(INDEX(SFactors,,2)=10^LEFT(A192,1))*(INDEX(SFactors,,3)=(LEN(A192)-LEN(SUBSTITUTE(A192,"_","")))),INDEX(SFactors,,5))</f>
        <v>#N/A</v>
      </c>
      <c r="AE192" s="3" t="e">
        <f t="shared" si="15"/>
        <v>#N/A</v>
      </c>
    </row>
    <row r="193" spans="1:3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2"/>
      <c r="Q193" s="3">
        <f t="shared" si="14"/>
        <v>249</v>
      </c>
      <c r="R193" s="36">
        <f t="shared" si="16"/>
        <v>81</v>
      </c>
      <c r="S193"/>
      <c r="AA193" s="2" t="e">
        <f t="array" ref="AA193">_xlfn.XLOOKUP(1,(INDEX(SFactors,,2)=10^LEFT(A193,1))*(INDEX(SFactors,,3)=(LEN(A193)-LEN(SUBSTITUTE(A193,"_","")))),INDEX(SFactors,,4))*PreTenB+(C193-PreTenB)*_xlfn.XLOOKUP(1,(INDEX(SFactors,,2)=10^LEFT(A193,1))*(INDEX(SFactors,,3)=(LEN(A193)-LEN(SUBSTITUTE(A193,"_","")))),INDEX(SFactors,,5))</f>
        <v>#N/A</v>
      </c>
      <c r="AB193" s="25" t="e">
        <f t="shared" si="5"/>
        <v>#N/A</v>
      </c>
      <c r="AC193" s="2" t="e">
        <f t="array" ref="AC193">_xlfn.XLOOKUP(1,
    (INDEX(SFactors,,2)=10^LEFT(A193,1)) *
    (INDEX(SFactors,,3)=(LEN(A193)-LEN(SUBSTITUTE(A193,"_","")))),
    INDEX(SFactors,,4)
)</f>
        <v>#N/A</v>
      </c>
      <c r="AD193" s="3" t="e">
        <f t="array" ref="AD193">_xlfn.XLOOKUP(1,(INDEX(SFactors,,2)=10^LEFT(A193,1))*(INDEX(SFactors,,3)=(LEN(A193)-LEN(SUBSTITUTE(A193,"_","")))),INDEX(SFactors,,5))</f>
        <v>#N/A</v>
      </c>
      <c r="AE193" s="3" t="e">
        <f t="shared" si="15"/>
        <v>#N/A</v>
      </c>
    </row>
    <row r="194" spans="1:3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2"/>
      <c r="Q194" s="3">
        <f t="shared" si="14"/>
        <v>10</v>
      </c>
      <c r="R194" s="36">
        <f t="shared" si="16"/>
        <v>10</v>
      </c>
      <c r="S194"/>
      <c r="AA194" s="2" t="e">
        <f t="array" ref="AA194">_xlfn.XLOOKUP(1,(INDEX(SFactors,,2)=10^LEFT(A194,1))*(INDEX(SFactors,,3)=(LEN(A194)-LEN(SUBSTITUTE(A194,"_","")))),INDEX(SFactors,,4))*PreTenB+(C194-PreTenB)*_xlfn.XLOOKUP(1,(INDEX(SFactors,,2)=10^LEFT(A194,1))*(INDEX(SFactors,,3)=(LEN(A194)-LEN(SUBSTITUTE(A194,"_","")))),INDEX(SFactors,,5))</f>
        <v>#N/A</v>
      </c>
      <c r="AB194" s="25" t="e">
        <f t="shared" si="5"/>
        <v>#N/A</v>
      </c>
      <c r="AC194" s="2" t="e">
        <f t="array" ref="AC194">_xlfn.XLOOKUP(1,
    (INDEX(SFactors,,2)=10^LEFT(A194,1)) *
    (INDEX(SFactors,,3)=(LEN(A194)-LEN(SUBSTITUTE(A194,"_","")))),
    INDEX(SFactors,,4)
)</f>
        <v>#N/A</v>
      </c>
      <c r="AD194" s="3" t="e">
        <f t="array" ref="AD194">_xlfn.XLOOKUP(1,(INDEX(SFactors,,2)=10^LEFT(A194,1))*(INDEX(SFactors,,3)=(LEN(A194)-LEN(SUBSTITUTE(A194,"_","")))),INDEX(SFactors,,5))</f>
        <v>#N/A</v>
      </c>
      <c r="AE194" s="3" t="e">
        <f t="shared" si="15"/>
        <v>#N/A</v>
      </c>
    </row>
    <row r="195" spans="1:3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2"/>
      <c r="Q195" s="3">
        <f t="shared" si="14"/>
        <v>22</v>
      </c>
      <c r="R195" s="36">
        <f t="shared" si="16"/>
        <v>10</v>
      </c>
      <c r="S195"/>
      <c r="AA195" s="2" t="e">
        <f t="array" ref="AA195">_xlfn.XLOOKUP(1,(INDEX(SFactors,,2)=10^LEFT(A195,1))*(INDEX(SFactors,,3)=(LEN(A195)-LEN(SUBSTITUTE(A195,"_","")))),INDEX(SFactors,,4))*PreTenB+(C195-PreTenB)*_xlfn.XLOOKUP(1,(INDEX(SFactors,,2)=10^LEFT(A195,1))*(INDEX(SFactors,,3)=(LEN(A195)-LEN(SUBSTITUTE(A195,"_","")))),INDEX(SFactors,,5))</f>
        <v>#N/A</v>
      </c>
      <c r="AB195" s="25" t="e">
        <f t="shared" si="5"/>
        <v>#N/A</v>
      </c>
      <c r="AC195" s="2" t="e">
        <f t="array" ref="AC195">_xlfn.XLOOKUP(1,
    (INDEX(SFactors,,2)=10^LEFT(A195,1)) *
    (INDEX(SFactors,,3)=(LEN(A195)-LEN(SUBSTITUTE(A195,"_","")))),
    INDEX(SFactors,,4)
)</f>
        <v>#N/A</v>
      </c>
      <c r="AD195" s="3" t="e">
        <f t="array" ref="AD195">_xlfn.XLOOKUP(1,(INDEX(SFactors,,2)=10^LEFT(A195,1))*(INDEX(SFactors,,3)=(LEN(A195)-LEN(SUBSTITUTE(A195,"_","")))),INDEX(SFactors,,5))</f>
        <v>#N/A</v>
      </c>
      <c r="AE195" s="3" t="e">
        <f t="shared" si="15"/>
        <v>#N/A</v>
      </c>
    </row>
    <row r="196" spans="1:3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2"/>
      <c r="Q196" s="3">
        <f t="shared" si="14"/>
        <v>34</v>
      </c>
      <c r="R196" s="36">
        <f t="shared" si="16"/>
        <v>10</v>
      </c>
      <c r="S196"/>
      <c r="AA196" s="2" t="e">
        <f t="array" ref="AA196">_xlfn.XLOOKUP(1,(INDEX(SFactors,,2)=10^LEFT(A196,1))*(INDEX(SFactors,,3)=(LEN(A196)-LEN(SUBSTITUTE(A196,"_","")))),INDEX(SFactors,,4))*PreTenB+(C196-PreTenB)*_xlfn.XLOOKUP(1,(INDEX(SFactors,,2)=10^LEFT(A196,1))*(INDEX(SFactors,,3)=(LEN(A196)-LEN(SUBSTITUTE(A196,"_","")))),INDEX(SFactors,,5))</f>
        <v>#N/A</v>
      </c>
      <c r="AB196" s="25" t="e">
        <f t="shared" si="5"/>
        <v>#N/A</v>
      </c>
      <c r="AC196" s="2" t="e">
        <f t="array" ref="AC196">_xlfn.XLOOKUP(1,
    (INDEX(SFactors,,2)=10^LEFT(A196,1)) *
    (INDEX(SFactors,,3)=(LEN(A196)-LEN(SUBSTITUTE(A196,"_","")))),
    INDEX(SFactors,,4)
)</f>
        <v>#N/A</v>
      </c>
      <c r="AD196" s="3" t="e">
        <f t="array" ref="AD196">_xlfn.XLOOKUP(1,(INDEX(SFactors,,2)=10^LEFT(A196,1))*(INDEX(SFactors,,3)=(LEN(A196)-LEN(SUBSTITUTE(A196,"_","")))),INDEX(SFactors,,5))</f>
        <v>#N/A</v>
      </c>
      <c r="AE196" s="3" t="e">
        <f t="shared" si="15"/>
        <v>#N/A</v>
      </c>
    </row>
    <row r="197" spans="1:3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2"/>
      <c r="Q197" s="3">
        <f t="shared" ref="Q197:Q256" si="22">MOD(ROW()-5,nSD)*12+INT((ROW()-5)/nSD)+1</f>
        <v>46</v>
      </c>
      <c r="R197" s="36">
        <f t="shared" si="16"/>
        <v>22</v>
      </c>
      <c r="S197"/>
      <c r="AA197" s="2" t="e">
        <f t="array" ref="AA197">_xlfn.XLOOKUP(1,(INDEX(SFactors,,2)=10^LEFT(A197,1))*(INDEX(SFactors,,3)=(LEN(A197)-LEN(SUBSTITUTE(A197,"_","")))),INDEX(SFactors,,4))*PreTenB+(C197-PreTenB)*_xlfn.XLOOKUP(1,(INDEX(SFactors,,2)=10^LEFT(A197,1))*(INDEX(SFactors,,3)=(LEN(A197)-LEN(SUBSTITUTE(A197,"_","")))),INDEX(SFactors,,5))</f>
        <v>#N/A</v>
      </c>
      <c r="AB197" s="25" t="e">
        <f t="shared" ref="AB197" si="23">AA197/MBL</f>
        <v>#N/A</v>
      </c>
      <c r="AC197" s="2" t="e">
        <f t="array" ref="AC197">_xlfn.XLOOKUP(1,
    (INDEX(SFactors,,2)=10^LEFT(A197,1)) *
    (INDEX(SFactors,,3)=(LEN(A197)-LEN(SUBSTITUTE(A197,"_","")))),
    INDEX(SFactors,,4)
)</f>
        <v>#N/A</v>
      </c>
      <c r="AD197" s="3" t="e">
        <f t="array" ref="AD197">_xlfn.XLOOKUP(1,(INDEX(SFactors,,2)=10^LEFT(A197,1))*(INDEX(SFactors,,3)=(LEN(A197)-LEN(SUBSTITUTE(A197,"_","")))),INDEX(SFactors,,5))</f>
        <v>#N/A</v>
      </c>
      <c r="AE197" s="3" t="e">
        <f t="shared" ref="AE197:AE244" si="24">PreTenB*AC197+(C197-PreTenB)*AD197</f>
        <v>#N/A</v>
      </c>
    </row>
    <row r="198" spans="1:3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2"/>
      <c r="Q198" s="3">
        <f t="shared" si="22"/>
        <v>58</v>
      </c>
      <c r="R198" s="36">
        <f t="shared" ref="R198:R256" si="25">MOD(INT((ROW()-5)/3),7)*12+INT((ROW()-5)/(nSD))+1</f>
        <v>22</v>
      </c>
      <c r="S198"/>
      <c r="AA198" s="2" t="e">
        <f t="array" ref="AA198">_xlfn.XLOOKUP(1,(INDEX(SFactors,,2)=10^LEFT(A198,1))*(INDEX(SFactors,,3)=(LEN(A198)-LEN(SUBSTITUTE(A198,"_","")))),INDEX(SFactors,,4))*PreTenB+(C198-PreTenB)*_xlfn.XLOOKUP(1,(INDEX(SFactors,,2)=10^LEFT(A198,1))*(INDEX(SFactors,,3)=(LEN(A198)-LEN(SUBSTITUTE(A198,"_","")))),INDEX(SFactors,,5))</f>
        <v>#N/A</v>
      </c>
      <c r="AB198" s="25" t="e">
        <f t="shared" si="5"/>
        <v>#N/A</v>
      </c>
      <c r="AC198" s="2" t="e">
        <f t="array" ref="AC198">_xlfn.XLOOKUP(1,
    (INDEX(SFactors,,2)=10^LEFT(A198,1)) *
    (INDEX(SFactors,,3)=(LEN(A198)-LEN(SUBSTITUTE(A198,"_","")))),
    INDEX(SFactors,,4)
)</f>
        <v>#N/A</v>
      </c>
      <c r="AD198" s="3" t="e">
        <f t="array" ref="AD198">_xlfn.XLOOKUP(1,(INDEX(SFactors,,2)=10^LEFT(A198,1))*(INDEX(SFactors,,3)=(LEN(A198)-LEN(SUBSTITUTE(A198,"_","")))),INDEX(SFactors,,5))</f>
        <v>#N/A</v>
      </c>
      <c r="AE198" s="3" t="e">
        <f t="shared" si="24"/>
        <v>#N/A</v>
      </c>
    </row>
    <row r="199" spans="1:3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2"/>
      <c r="Q199" s="3">
        <f t="shared" si="22"/>
        <v>70</v>
      </c>
      <c r="R199" s="36">
        <f t="shared" si="25"/>
        <v>22</v>
      </c>
      <c r="S199"/>
      <c r="AA199" s="2" t="e">
        <f t="array" ref="AA199">_xlfn.XLOOKUP(1,(INDEX(SFactors,,2)=10^LEFT(A199,1))*(INDEX(SFactors,,3)=(LEN(A199)-LEN(SUBSTITUTE(A199,"_","")))),INDEX(SFactors,,4))*PreTenB+(C199-PreTenB)*_xlfn.XLOOKUP(1,(INDEX(SFactors,,2)=10^LEFT(A199,1))*(INDEX(SFactors,,3)=(LEN(A199)-LEN(SUBSTITUTE(A199,"_","")))),INDEX(SFactors,,5))</f>
        <v>#N/A</v>
      </c>
      <c r="AB199" s="25" t="e">
        <f t="shared" si="5"/>
        <v>#N/A</v>
      </c>
      <c r="AC199" s="2" t="e">
        <f t="array" ref="AC199">_xlfn.XLOOKUP(1,
    (INDEX(SFactors,,2)=10^LEFT(A199,1)) *
    (INDEX(SFactors,,3)=(LEN(A199)-LEN(SUBSTITUTE(A199,"_","")))),
    INDEX(SFactors,,4)
)</f>
        <v>#N/A</v>
      </c>
      <c r="AD199" s="3" t="e">
        <f t="array" ref="AD199">_xlfn.XLOOKUP(1,(INDEX(SFactors,,2)=10^LEFT(A199,1))*(INDEX(SFactors,,3)=(LEN(A199)-LEN(SUBSTITUTE(A199,"_","")))),INDEX(SFactors,,5))</f>
        <v>#N/A</v>
      </c>
      <c r="AE199" s="3" t="e">
        <f t="shared" si="24"/>
        <v>#N/A</v>
      </c>
    </row>
    <row r="200" spans="1:3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2"/>
      <c r="Q200" s="3">
        <f t="shared" si="22"/>
        <v>82</v>
      </c>
      <c r="R200" s="36">
        <f t="shared" si="25"/>
        <v>34</v>
      </c>
      <c r="S200"/>
      <c r="AA200" s="2" t="e">
        <f t="array" ref="AA200">_xlfn.XLOOKUP(1,(INDEX(SFactors,,2)=10^LEFT(A200,1))*(INDEX(SFactors,,3)=(LEN(A200)-LEN(SUBSTITUTE(A200,"_","")))),INDEX(SFactors,,4))*PreTenB+(C200-PreTenB)*_xlfn.XLOOKUP(1,(INDEX(SFactors,,2)=10^LEFT(A200,1))*(INDEX(SFactors,,3)=(LEN(A200)-LEN(SUBSTITUTE(A200,"_","")))),INDEX(SFactors,,5))</f>
        <v>#N/A</v>
      </c>
      <c r="AB200" s="25" t="e">
        <f t="shared" si="5"/>
        <v>#N/A</v>
      </c>
      <c r="AC200" s="2" t="e">
        <f t="array" ref="AC200">_xlfn.XLOOKUP(1,
    (INDEX(SFactors,,2)=10^LEFT(A200,1)) *
    (INDEX(SFactors,,3)=(LEN(A200)-LEN(SUBSTITUTE(A200,"_","")))),
    INDEX(SFactors,,4)
)</f>
        <v>#N/A</v>
      </c>
      <c r="AD200" s="3" t="e">
        <f t="array" ref="AD200">_xlfn.XLOOKUP(1,(INDEX(SFactors,,2)=10^LEFT(A200,1))*(INDEX(SFactors,,3)=(LEN(A200)-LEN(SUBSTITUTE(A200,"_","")))),INDEX(SFactors,,5))</f>
        <v>#N/A</v>
      </c>
      <c r="AE200" s="3" t="e">
        <f t="shared" si="24"/>
        <v>#N/A</v>
      </c>
    </row>
    <row r="201" spans="1:3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2"/>
      <c r="Q201" s="3">
        <f t="shared" si="22"/>
        <v>94</v>
      </c>
      <c r="R201" s="36">
        <f t="shared" si="25"/>
        <v>34</v>
      </c>
      <c r="S201"/>
      <c r="AA201" s="2" t="e">
        <f t="array" ref="AA201">_xlfn.XLOOKUP(1,(INDEX(SFactors,,2)=10^LEFT(A201,1))*(INDEX(SFactors,,3)=(LEN(A201)-LEN(SUBSTITUTE(A201,"_","")))),INDEX(SFactors,,4))*PreTenB+(C201-PreTenB)*_xlfn.XLOOKUP(1,(INDEX(SFactors,,2)=10^LEFT(A201,1))*(INDEX(SFactors,,3)=(LEN(A201)-LEN(SUBSTITUTE(A201,"_","")))),INDEX(SFactors,,5))</f>
        <v>#N/A</v>
      </c>
      <c r="AB201" s="25" t="e">
        <f t="shared" si="5"/>
        <v>#N/A</v>
      </c>
      <c r="AC201" s="2" t="e">
        <f t="array" ref="AC201">_xlfn.XLOOKUP(1,
    (INDEX(SFactors,,2)=10^LEFT(A201,1)) *
    (INDEX(SFactors,,3)=(LEN(A201)-LEN(SUBSTITUTE(A201,"_","")))),
    INDEX(SFactors,,4)
)</f>
        <v>#N/A</v>
      </c>
      <c r="AD201" s="3" t="e">
        <f t="array" ref="AD201">_xlfn.XLOOKUP(1,(INDEX(SFactors,,2)=10^LEFT(A201,1))*(INDEX(SFactors,,3)=(LEN(A201)-LEN(SUBSTITUTE(A201,"_","")))),INDEX(SFactors,,5))</f>
        <v>#N/A</v>
      </c>
      <c r="AE201" s="3" t="e">
        <f t="shared" si="24"/>
        <v>#N/A</v>
      </c>
    </row>
    <row r="202" spans="1:3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2"/>
      <c r="Q202" s="3">
        <f t="shared" si="22"/>
        <v>106</v>
      </c>
      <c r="R202" s="36">
        <f t="shared" si="25"/>
        <v>34</v>
      </c>
      <c r="S202"/>
      <c r="AA202" s="2" t="e">
        <f t="array" ref="AA202">_xlfn.XLOOKUP(1,(INDEX(SFactors,,2)=10^LEFT(A202,1))*(INDEX(SFactors,,3)=(LEN(A202)-LEN(SUBSTITUTE(A202,"_","")))),INDEX(SFactors,,4))*PreTenB+(C202-PreTenB)*_xlfn.XLOOKUP(1,(INDEX(SFactors,,2)=10^LEFT(A202,1))*(INDEX(SFactors,,3)=(LEN(A202)-LEN(SUBSTITUTE(A202,"_","")))),INDEX(SFactors,,5))</f>
        <v>#N/A</v>
      </c>
      <c r="AB202" s="25" t="e">
        <f t="shared" si="5"/>
        <v>#N/A</v>
      </c>
      <c r="AC202" s="2" t="e">
        <f t="array" ref="AC202">_xlfn.XLOOKUP(1,
    (INDEX(SFactors,,2)=10^LEFT(A202,1)) *
    (INDEX(SFactors,,3)=(LEN(A202)-LEN(SUBSTITUTE(A202,"_","")))),
    INDEX(SFactors,,4)
)</f>
        <v>#N/A</v>
      </c>
      <c r="AD202" s="3" t="e">
        <f t="array" ref="AD202">_xlfn.XLOOKUP(1,(INDEX(SFactors,,2)=10^LEFT(A202,1))*(INDEX(SFactors,,3)=(LEN(A202)-LEN(SUBSTITUTE(A202,"_","")))),INDEX(SFactors,,5))</f>
        <v>#N/A</v>
      </c>
      <c r="AE202" s="3" t="e">
        <f t="shared" si="24"/>
        <v>#N/A</v>
      </c>
    </row>
    <row r="203" spans="1:3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2"/>
      <c r="Q203" s="3">
        <f t="shared" si="22"/>
        <v>118</v>
      </c>
      <c r="R203" s="36">
        <f t="shared" si="25"/>
        <v>46</v>
      </c>
      <c r="S203"/>
      <c r="AA203" s="2" t="e">
        <f t="array" ref="AA203">_xlfn.XLOOKUP(1,(INDEX(SFactors,,2)=10^LEFT(A203,1))*(INDEX(SFactors,,3)=(LEN(A203)-LEN(SUBSTITUTE(A203,"_","")))),INDEX(SFactors,,4))*PreTenB+(C203-PreTenB)*_xlfn.XLOOKUP(1,(INDEX(SFactors,,2)=10^LEFT(A203,1))*(INDEX(SFactors,,3)=(LEN(A203)-LEN(SUBSTITUTE(A203,"_","")))),INDEX(SFactors,,5))</f>
        <v>#N/A</v>
      </c>
      <c r="AB203" s="25" t="e">
        <f t="shared" si="5"/>
        <v>#N/A</v>
      </c>
      <c r="AC203" s="2" t="e">
        <f t="array" ref="AC203">_xlfn.XLOOKUP(1,
    (INDEX(SFactors,,2)=10^LEFT(A203,1)) *
    (INDEX(SFactors,,3)=(LEN(A203)-LEN(SUBSTITUTE(A203,"_","")))),
    INDEX(SFactors,,4)
)</f>
        <v>#N/A</v>
      </c>
      <c r="AD203" s="3" t="e">
        <f t="array" ref="AD203">_xlfn.XLOOKUP(1,(INDEX(SFactors,,2)=10^LEFT(A203,1))*(INDEX(SFactors,,3)=(LEN(A203)-LEN(SUBSTITUTE(A203,"_","")))),INDEX(SFactors,,5))</f>
        <v>#N/A</v>
      </c>
      <c r="AE203" s="3" t="e">
        <f t="shared" si="24"/>
        <v>#N/A</v>
      </c>
    </row>
    <row r="204" spans="1:3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2"/>
      <c r="Q204" s="3">
        <f t="shared" si="22"/>
        <v>130</v>
      </c>
      <c r="R204" s="36">
        <f t="shared" si="25"/>
        <v>46</v>
      </c>
      <c r="S204"/>
      <c r="AA204" s="2" t="e">
        <f t="array" ref="AA204">_xlfn.XLOOKUP(1,(INDEX(SFactors,,2)=10^LEFT(A204,1))*(INDEX(SFactors,,3)=(LEN(A204)-LEN(SUBSTITUTE(A204,"_","")))),INDEX(SFactors,,4))*PreTenB+(C204-PreTenB)*_xlfn.XLOOKUP(1,(INDEX(SFactors,,2)=10^LEFT(A204,1))*(INDEX(SFactors,,3)=(LEN(A204)-LEN(SUBSTITUTE(A204,"_","")))),INDEX(SFactors,,5))</f>
        <v>#N/A</v>
      </c>
      <c r="AB204" s="25" t="e">
        <f t="shared" si="5"/>
        <v>#N/A</v>
      </c>
      <c r="AC204" s="2" t="e">
        <f t="array" ref="AC204">_xlfn.XLOOKUP(1,
    (INDEX(SFactors,,2)=10^LEFT(A204,1)) *
    (INDEX(SFactors,,3)=(LEN(A204)-LEN(SUBSTITUTE(A204,"_","")))),
    INDEX(SFactors,,4)
)</f>
        <v>#N/A</v>
      </c>
      <c r="AD204" s="3" t="e">
        <f t="array" ref="AD204">_xlfn.XLOOKUP(1,(INDEX(SFactors,,2)=10^LEFT(A204,1))*(INDEX(SFactors,,3)=(LEN(A204)-LEN(SUBSTITUTE(A204,"_","")))),INDEX(SFactors,,5))</f>
        <v>#N/A</v>
      </c>
      <c r="AE204" s="3" t="e">
        <f t="shared" si="24"/>
        <v>#N/A</v>
      </c>
    </row>
    <row r="205" spans="1:3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2"/>
      <c r="Q205" s="3">
        <f t="shared" si="22"/>
        <v>142</v>
      </c>
      <c r="R205" s="36">
        <f t="shared" si="25"/>
        <v>46</v>
      </c>
      <c r="S205"/>
      <c r="AA205" s="2" t="e">
        <f t="array" ref="AA205">_xlfn.XLOOKUP(1,(INDEX(SFactors,,2)=10^LEFT(A205,1))*(INDEX(SFactors,,3)=(LEN(A205)-LEN(SUBSTITUTE(A205,"_","")))),INDEX(SFactors,,4))*PreTenB+(C205-PreTenB)*_xlfn.XLOOKUP(1,(INDEX(SFactors,,2)=10^LEFT(A205,1))*(INDEX(SFactors,,3)=(LEN(A205)-LEN(SUBSTITUTE(A205,"_","")))),INDEX(SFactors,,5))</f>
        <v>#N/A</v>
      </c>
      <c r="AB205" s="25" t="e">
        <f t="shared" si="5"/>
        <v>#N/A</v>
      </c>
      <c r="AC205" s="2" t="e">
        <f t="array" ref="AC205">_xlfn.XLOOKUP(1,
    (INDEX(SFactors,,2)=10^LEFT(A205,1)) *
    (INDEX(SFactors,,3)=(LEN(A205)-LEN(SUBSTITUTE(A205,"_","")))),
    INDEX(SFactors,,4)
)</f>
        <v>#N/A</v>
      </c>
      <c r="AD205" s="3" t="e">
        <f t="array" ref="AD205">_xlfn.XLOOKUP(1,(INDEX(SFactors,,2)=10^LEFT(A205,1))*(INDEX(SFactors,,3)=(LEN(A205)-LEN(SUBSTITUTE(A205,"_","")))),INDEX(SFactors,,5))</f>
        <v>#N/A</v>
      </c>
      <c r="AE205" s="3" t="e">
        <f t="shared" si="24"/>
        <v>#N/A</v>
      </c>
    </row>
    <row r="206" spans="1:3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2"/>
      <c r="Q206" s="3">
        <f t="shared" si="22"/>
        <v>154</v>
      </c>
      <c r="R206" s="36">
        <f t="shared" si="25"/>
        <v>58</v>
      </c>
      <c r="S206"/>
      <c r="AA206" s="2" t="e">
        <f t="array" ref="AA206">_xlfn.XLOOKUP(1,(INDEX(SFactors,,2)=10^LEFT(A206,1))*(INDEX(SFactors,,3)=(LEN(A206)-LEN(SUBSTITUTE(A206,"_","")))),INDEX(SFactors,,4))*PreTenB+(C206-PreTenB)*_xlfn.XLOOKUP(1,(INDEX(SFactors,,2)=10^LEFT(A206,1))*(INDEX(SFactors,,3)=(LEN(A206)-LEN(SUBSTITUTE(A206,"_","")))),INDEX(SFactors,,5))</f>
        <v>#N/A</v>
      </c>
      <c r="AB206" s="25" t="e">
        <f t="shared" si="5"/>
        <v>#N/A</v>
      </c>
      <c r="AC206" s="2" t="e">
        <f t="array" ref="AC206">_xlfn.XLOOKUP(1,
    (INDEX(SFactors,,2)=10^LEFT(A206,1)) *
    (INDEX(SFactors,,3)=(LEN(A206)-LEN(SUBSTITUTE(A206,"_","")))),
    INDEX(SFactors,,4)
)</f>
        <v>#N/A</v>
      </c>
      <c r="AD206" s="3" t="e">
        <f t="array" ref="AD206">_xlfn.XLOOKUP(1,(INDEX(SFactors,,2)=10^LEFT(A206,1))*(INDEX(SFactors,,3)=(LEN(A206)-LEN(SUBSTITUTE(A206,"_","")))),INDEX(SFactors,,5))</f>
        <v>#N/A</v>
      </c>
      <c r="AE206" s="3" t="e">
        <f t="shared" si="24"/>
        <v>#N/A</v>
      </c>
    </row>
    <row r="207" spans="1:3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2"/>
      <c r="Q207" s="3">
        <f t="shared" si="22"/>
        <v>166</v>
      </c>
      <c r="R207" s="36">
        <f t="shared" si="25"/>
        <v>58</v>
      </c>
      <c r="S207"/>
      <c r="AA207" s="2" t="e">
        <f t="array" ref="AA207">_xlfn.XLOOKUP(1,(INDEX(SFactors,,2)=10^LEFT(A207,1))*(INDEX(SFactors,,3)=(LEN(A207)-LEN(SUBSTITUTE(A207,"_","")))),INDEX(SFactors,,4))*PreTenB+(C207-PreTenB)*_xlfn.XLOOKUP(1,(INDEX(SFactors,,2)=10^LEFT(A207,1))*(INDEX(SFactors,,3)=(LEN(A207)-LEN(SUBSTITUTE(A207,"_","")))),INDEX(SFactors,,5))</f>
        <v>#N/A</v>
      </c>
      <c r="AB207" s="25" t="e">
        <f t="shared" si="5"/>
        <v>#N/A</v>
      </c>
      <c r="AC207" s="2" t="e">
        <f t="array" ref="AC207">_xlfn.XLOOKUP(1,
    (INDEX(SFactors,,2)=10^LEFT(A207,1)) *
    (INDEX(SFactors,,3)=(LEN(A207)-LEN(SUBSTITUTE(A207,"_","")))),
    INDEX(SFactors,,4)
)</f>
        <v>#N/A</v>
      </c>
      <c r="AD207" s="3" t="e">
        <f t="array" ref="AD207">_xlfn.XLOOKUP(1,(INDEX(SFactors,,2)=10^LEFT(A207,1))*(INDEX(SFactors,,3)=(LEN(A207)-LEN(SUBSTITUTE(A207,"_","")))),INDEX(SFactors,,5))</f>
        <v>#N/A</v>
      </c>
      <c r="AE207" s="3" t="e">
        <f t="shared" si="24"/>
        <v>#N/A</v>
      </c>
    </row>
    <row r="208" spans="1:3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2"/>
      <c r="Q208" s="3">
        <f t="shared" si="22"/>
        <v>178</v>
      </c>
      <c r="R208" s="36">
        <f t="shared" si="25"/>
        <v>58</v>
      </c>
      <c r="S208"/>
      <c r="AA208" s="2" t="e">
        <f t="array" ref="AA208">_xlfn.XLOOKUP(1,(INDEX(SFactors,,2)=10^LEFT(A208,1))*(INDEX(SFactors,,3)=(LEN(A208)-LEN(SUBSTITUTE(A208,"_","")))),INDEX(SFactors,,4))*PreTenB+(C208-PreTenB)*_xlfn.XLOOKUP(1,(INDEX(SFactors,,2)=10^LEFT(A208,1))*(INDEX(SFactors,,3)=(LEN(A208)-LEN(SUBSTITUTE(A208,"_","")))),INDEX(SFactors,,5))</f>
        <v>#N/A</v>
      </c>
      <c r="AB208" s="25" t="e">
        <f t="shared" si="5"/>
        <v>#N/A</v>
      </c>
      <c r="AC208" s="2" t="e">
        <f t="array" ref="AC208">_xlfn.XLOOKUP(1,
    (INDEX(SFactors,,2)=10^LEFT(A208,1)) *
    (INDEX(SFactors,,3)=(LEN(A208)-LEN(SUBSTITUTE(A208,"_","")))),
    INDEX(SFactors,,4)
)</f>
        <v>#N/A</v>
      </c>
      <c r="AD208" s="3" t="e">
        <f t="array" ref="AD208">_xlfn.XLOOKUP(1,(INDEX(SFactors,,2)=10^LEFT(A208,1))*(INDEX(SFactors,,3)=(LEN(A208)-LEN(SUBSTITUTE(A208,"_","")))),INDEX(SFactors,,5))</f>
        <v>#N/A</v>
      </c>
      <c r="AE208" s="3" t="e">
        <f t="shared" si="24"/>
        <v>#N/A</v>
      </c>
    </row>
    <row r="209" spans="1:3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2"/>
      <c r="Q209" s="3">
        <f t="shared" si="22"/>
        <v>190</v>
      </c>
      <c r="R209" s="36">
        <f t="shared" si="25"/>
        <v>70</v>
      </c>
      <c r="S209"/>
      <c r="AA209" s="2" t="e">
        <f t="array" ref="AA209">_xlfn.XLOOKUP(1,(INDEX(SFactors,,2)=10^LEFT(A209,1))*(INDEX(SFactors,,3)=(LEN(A209)-LEN(SUBSTITUTE(A209,"_","")))),INDEX(SFactors,,4))*PreTenB+(C209-PreTenB)*_xlfn.XLOOKUP(1,(INDEX(SFactors,,2)=10^LEFT(A209,1))*(INDEX(SFactors,,3)=(LEN(A209)-LEN(SUBSTITUTE(A209,"_","")))),INDEX(SFactors,,5))</f>
        <v>#N/A</v>
      </c>
      <c r="AB209" s="25" t="e">
        <f t="shared" ref="AB209" si="26">AA209/MBL</f>
        <v>#N/A</v>
      </c>
      <c r="AC209" s="2" t="e">
        <f t="array" ref="AC209">_xlfn.XLOOKUP(1,
    (INDEX(SFactors,,2)=10^LEFT(A209,1)) *
    (INDEX(SFactors,,3)=(LEN(A209)-LEN(SUBSTITUTE(A209,"_","")))),
    INDEX(SFactors,,4)
)</f>
        <v>#N/A</v>
      </c>
      <c r="AD209" s="3" t="e">
        <f t="array" ref="AD209">_xlfn.XLOOKUP(1,(INDEX(SFactors,,2)=10^LEFT(A209,1))*(INDEX(SFactors,,3)=(LEN(A209)-LEN(SUBSTITUTE(A209,"_","")))),INDEX(SFactors,,5))</f>
        <v>#N/A</v>
      </c>
      <c r="AE209" s="3" t="e">
        <f t="shared" si="24"/>
        <v>#N/A</v>
      </c>
    </row>
    <row r="210" spans="1:3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2"/>
      <c r="Q210" s="3">
        <f t="shared" si="22"/>
        <v>202</v>
      </c>
      <c r="R210" s="36">
        <f t="shared" si="25"/>
        <v>70</v>
      </c>
      <c r="S210"/>
      <c r="AA210" s="2" t="e">
        <f t="array" ref="AA210">_xlfn.XLOOKUP(1,(INDEX(SFactors,,2)=10^LEFT(A210,1))*(INDEX(SFactors,,3)=(LEN(A210)-LEN(SUBSTITUTE(A210,"_","")))),INDEX(SFactors,,4))*PreTenB+(C210-PreTenB)*_xlfn.XLOOKUP(1,(INDEX(SFactors,,2)=10^LEFT(A210,1))*(INDEX(SFactors,,3)=(LEN(A210)-LEN(SUBSTITUTE(A210,"_","")))),INDEX(SFactors,,5))</f>
        <v>#N/A</v>
      </c>
      <c r="AB210" s="25" t="e">
        <f t="shared" si="5"/>
        <v>#N/A</v>
      </c>
      <c r="AC210" s="2" t="e">
        <f t="array" ref="AC210">_xlfn.XLOOKUP(1,
    (INDEX(SFactors,,2)=10^LEFT(A210,1)) *
    (INDEX(SFactors,,3)=(LEN(A210)-LEN(SUBSTITUTE(A210,"_","")))),
    INDEX(SFactors,,4)
)</f>
        <v>#N/A</v>
      </c>
      <c r="AD210" s="3" t="e">
        <f t="array" ref="AD210">_xlfn.XLOOKUP(1,(INDEX(SFactors,,2)=10^LEFT(A210,1))*(INDEX(SFactors,,3)=(LEN(A210)-LEN(SUBSTITUTE(A210,"_","")))),INDEX(SFactors,,5))</f>
        <v>#N/A</v>
      </c>
      <c r="AE210" s="3" t="e">
        <f t="shared" si="24"/>
        <v>#N/A</v>
      </c>
    </row>
    <row r="211" spans="1:3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2"/>
      <c r="Q211" s="3">
        <f t="shared" si="22"/>
        <v>214</v>
      </c>
      <c r="R211" s="36">
        <f t="shared" si="25"/>
        <v>70</v>
      </c>
      <c r="S211"/>
      <c r="AA211" s="2" t="e">
        <f t="array" ref="AA211">_xlfn.XLOOKUP(1,(INDEX(SFactors,,2)=10^LEFT(A211,1))*(INDEX(SFactors,,3)=(LEN(A211)-LEN(SUBSTITUTE(A211,"_","")))),INDEX(SFactors,,4))*PreTenB+(C211-PreTenB)*_xlfn.XLOOKUP(1,(INDEX(SFactors,,2)=10^LEFT(A211,1))*(INDEX(SFactors,,3)=(LEN(A211)-LEN(SUBSTITUTE(A211,"_","")))),INDEX(SFactors,,5))</f>
        <v>#N/A</v>
      </c>
      <c r="AB211" s="25" t="e">
        <f t="shared" si="5"/>
        <v>#N/A</v>
      </c>
      <c r="AC211" s="2" t="e">
        <f t="array" ref="AC211">_xlfn.XLOOKUP(1,
    (INDEX(SFactors,,2)=10^LEFT(A211,1)) *
    (INDEX(SFactors,,3)=(LEN(A211)-LEN(SUBSTITUTE(A211,"_","")))),
    INDEX(SFactors,,4)
)</f>
        <v>#N/A</v>
      </c>
      <c r="AD211" s="3" t="e">
        <f t="array" ref="AD211">_xlfn.XLOOKUP(1,(INDEX(SFactors,,2)=10^LEFT(A211,1))*(INDEX(SFactors,,3)=(LEN(A211)-LEN(SUBSTITUTE(A211,"_","")))),INDEX(SFactors,,5))</f>
        <v>#N/A</v>
      </c>
      <c r="AE211" s="3" t="e">
        <f t="shared" si="24"/>
        <v>#N/A</v>
      </c>
    </row>
    <row r="212" spans="1:3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2"/>
      <c r="Q212" s="3">
        <f t="shared" si="22"/>
        <v>226</v>
      </c>
      <c r="R212" s="36">
        <f t="shared" si="25"/>
        <v>82</v>
      </c>
      <c r="S212"/>
      <c r="AA212" s="2" t="e">
        <f t="array" ref="AA212">_xlfn.XLOOKUP(1,(INDEX(SFactors,,2)=10^LEFT(A212,1))*(INDEX(SFactors,,3)=(LEN(A212)-LEN(SUBSTITUTE(A212,"_","")))),INDEX(SFactors,,4))*PreTenB+(C212-PreTenB)*_xlfn.XLOOKUP(1,(INDEX(SFactors,,2)=10^LEFT(A212,1))*(INDEX(SFactors,,3)=(LEN(A212)-LEN(SUBSTITUTE(A212,"_","")))),INDEX(SFactors,,5))</f>
        <v>#N/A</v>
      </c>
      <c r="AB212" s="25" t="e">
        <f t="shared" si="5"/>
        <v>#N/A</v>
      </c>
      <c r="AC212" s="2" t="e">
        <f t="array" ref="AC212">_xlfn.XLOOKUP(1,
    (INDEX(SFactors,,2)=10^LEFT(A212,1)) *
    (INDEX(SFactors,,3)=(LEN(A212)-LEN(SUBSTITUTE(A212,"_","")))),
    INDEX(SFactors,,4)
)</f>
        <v>#N/A</v>
      </c>
      <c r="AD212" s="3" t="e">
        <f t="array" ref="AD212">_xlfn.XLOOKUP(1,(INDEX(SFactors,,2)=10^LEFT(A212,1))*(INDEX(SFactors,,3)=(LEN(A212)-LEN(SUBSTITUTE(A212,"_","")))),INDEX(SFactors,,5))</f>
        <v>#N/A</v>
      </c>
      <c r="AE212" s="3" t="e">
        <f t="shared" si="24"/>
        <v>#N/A</v>
      </c>
    </row>
    <row r="213" spans="1:3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2"/>
      <c r="Q213" s="3">
        <f t="shared" si="22"/>
        <v>238</v>
      </c>
      <c r="R213" s="36">
        <f t="shared" si="25"/>
        <v>82</v>
      </c>
      <c r="S213"/>
      <c r="AA213" s="2" t="e">
        <f t="array" ref="AA213">_xlfn.XLOOKUP(1,(INDEX(SFactors,,2)=10^LEFT(A213,1))*(INDEX(SFactors,,3)=(LEN(A213)-LEN(SUBSTITUTE(A213,"_","")))),INDEX(SFactors,,4))*PreTenB+(C213-PreTenB)*_xlfn.XLOOKUP(1,(INDEX(SFactors,,2)=10^LEFT(A213,1))*(INDEX(SFactors,,3)=(LEN(A213)-LEN(SUBSTITUTE(A213,"_","")))),INDEX(SFactors,,5))</f>
        <v>#N/A</v>
      </c>
      <c r="AB213" s="25" t="e">
        <f t="shared" si="5"/>
        <v>#N/A</v>
      </c>
      <c r="AC213" s="2" t="e">
        <f t="array" ref="AC213">_xlfn.XLOOKUP(1,
    (INDEX(SFactors,,2)=10^LEFT(A213,1)) *
    (INDEX(SFactors,,3)=(LEN(A213)-LEN(SUBSTITUTE(A213,"_","")))),
    INDEX(SFactors,,4)
)</f>
        <v>#N/A</v>
      </c>
      <c r="AD213" s="3" t="e">
        <f t="array" ref="AD213">_xlfn.XLOOKUP(1,(INDEX(SFactors,,2)=10^LEFT(A213,1))*(INDEX(SFactors,,3)=(LEN(A213)-LEN(SUBSTITUTE(A213,"_","")))),INDEX(SFactors,,5))</f>
        <v>#N/A</v>
      </c>
      <c r="AE213" s="3" t="e">
        <f t="shared" si="24"/>
        <v>#N/A</v>
      </c>
    </row>
    <row r="214" spans="1:3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2"/>
      <c r="Q214" s="3">
        <f t="shared" si="22"/>
        <v>250</v>
      </c>
      <c r="R214" s="36">
        <f t="shared" si="25"/>
        <v>82</v>
      </c>
      <c r="S214"/>
      <c r="AA214" s="2" t="e">
        <f t="array" ref="AA214">_xlfn.XLOOKUP(1,(INDEX(SFactors,,2)=10^LEFT(A214,1))*(INDEX(SFactors,,3)=(LEN(A214)-LEN(SUBSTITUTE(A214,"_","")))),INDEX(SFactors,,4))*PreTenB+(C214-PreTenB)*_xlfn.XLOOKUP(1,(INDEX(SFactors,,2)=10^LEFT(A214,1))*(INDEX(SFactors,,3)=(LEN(A214)-LEN(SUBSTITUTE(A214,"_","")))),INDEX(SFactors,,5))</f>
        <v>#N/A</v>
      </c>
      <c r="AB214" s="25" t="e">
        <f t="shared" si="5"/>
        <v>#N/A</v>
      </c>
      <c r="AC214" s="2" t="e">
        <f t="array" ref="AC214">_xlfn.XLOOKUP(1,
    (INDEX(SFactors,,2)=10^LEFT(A214,1)) *
    (INDEX(SFactors,,3)=(LEN(A214)-LEN(SUBSTITUTE(A214,"_","")))),
    INDEX(SFactors,,4)
)</f>
        <v>#N/A</v>
      </c>
      <c r="AD214" s="3" t="e">
        <f t="array" ref="AD214">_xlfn.XLOOKUP(1,(INDEX(SFactors,,2)=10^LEFT(A214,1))*(INDEX(SFactors,,3)=(LEN(A214)-LEN(SUBSTITUTE(A214,"_","")))),INDEX(SFactors,,5))</f>
        <v>#N/A</v>
      </c>
      <c r="AE214" s="3" t="e">
        <f t="shared" si="24"/>
        <v>#N/A</v>
      </c>
    </row>
    <row r="215" spans="1:3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2"/>
      <c r="Q215" s="3">
        <f t="shared" si="22"/>
        <v>11</v>
      </c>
      <c r="R215" s="36">
        <f t="shared" si="25"/>
        <v>11</v>
      </c>
      <c r="S215"/>
      <c r="AA215" s="2" t="e">
        <f t="array" ref="AA215">_xlfn.XLOOKUP(1,(INDEX(SFactors,,2)=10^LEFT(A215,1))*(INDEX(SFactors,,3)=(LEN(A215)-LEN(SUBSTITUTE(A215,"_","")))),INDEX(SFactors,,4))*PreTenB+(C215-PreTenB)*_xlfn.XLOOKUP(1,(INDEX(SFactors,,2)=10^LEFT(A215,1))*(INDEX(SFactors,,3)=(LEN(A215)-LEN(SUBSTITUTE(A215,"_","")))),INDEX(SFactors,,5))</f>
        <v>#N/A</v>
      </c>
      <c r="AB215" s="25" t="e">
        <f t="shared" si="5"/>
        <v>#N/A</v>
      </c>
      <c r="AC215" s="2" t="e">
        <f t="array" ref="AC215">_xlfn.XLOOKUP(1,
    (INDEX(SFactors,,2)=10^LEFT(A215,1)) *
    (INDEX(SFactors,,3)=(LEN(A215)-LEN(SUBSTITUTE(A215,"_","")))),
    INDEX(SFactors,,4)
)</f>
        <v>#N/A</v>
      </c>
      <c r="AD215" s="3" t="e">
        <f t="array" ref="AD215">_xlfn.XLOOKUP(1,(INDEX(SFactors,,2)=10^LEFT(A215,1))*(INDEX(SFactors,,3)=(LEN(A215)-LEN(SUBSTITUTE(A215,"_","")))),INDEX(SFactors,,5))</f>
        <v>#N/A</v>
      </c>
      <c r="AE215" s="3" t="e">
        <f t="shared" si="24"/>
        <v>#N/A</v>
      </c>
    </row>
    <row r="216" spans="1:3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2"/>
      <c r="Q216" s="3">
        <f t="shared" si="22"/>
        <v>23</v>
      </c>
      <c r="R216" s="36">
        <f t="shared" si="25"/>
        <v>11</v>
      </c>
      <c r="S216"/>
      <c r="AA216" s="2" t="e">
        <f t="array" ref="AA216">_xlfn.XLOOKUP(1,(INDEX(SFactors,,2)=10^LEFT(A216,1))*(INDEX(SFactors,,3)=(LEN(A216)-LEN(SUBSTITUTE(A216,"_","")))),INDEX(SFactors,,4))*PreTenB+(C216-PreTenB)*_xlfn.XLOOKUP(1,(INDEX(SFactors,,2)=10^LEFT(A216,1))*(INDEX(SFactors,,3)=(LEN(A216)-LEN(SUBSTITUTE(A216,"_","")))),INDEX(SFactors,,5))</f>
        <v>#N/A</v>
      </c>
      <c r="AB216" s="25" t="e">
        <f t="shared" si="5"/>
        <v>#N/A</v>
      </c>
      <c r="AC216" s="2" t="e">
        <f t="array" ref="AC216">_xlfn.XLOOKUP(1,
    (INDEX(SFactors,,2)=10^LEFT(A216,1)) *
    (INDEX(SFactors,,3)=(LEN(A216)-LEN(SUBSTITUTE(A216,"_","")))),
    INDEX(SFactors,,4)
)</f>
        <v>#N/A</v>
      </c>
      <c r="AD216" s="3" t="e">
        <f t="array" ref="AD216">_xlfn.XLOOKUP(1,(INDEX(SFactors,,2)=10^LEFT(A216,1))*(INDEX(SFactors,,3)=(LEN(A216)-LEN(SUBSTITUTE(A216,"_","")))),INDEX(SFactors,,5))</f>
        <v>#N/A</v>
      </c>
      <c r="AE216" s="3" t="e">
        <f t="shared" si="24"/>
        <v>#N/A</v>
      </c>
    </row>
    <row r="217" spans="1:3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2"/>
      <c r="Q217" s="3">
        <f t="shared" si="22"/>
        <v>35</v>
      </c>
      <c r="R217" s="36">
        <f t="shared" si="25"/>
        <v>11</v>
      </c>
      <c r="S217"/>
      <c r="AA217" s="2" t="e">
        <f t="array" ref="AA217">_xlfn.XLOOKUP(1,(INDEX(SFactors,,2)=10^LEFT(A217,1))*(INDEX(SFactors,,3)=(LEN(A217)-LEN(SUBSTITUTE(A217,"_","")))),INDEX(SFactors,,4))*PreTenB+(C217-PreTenB)*_xlfn.XLOOKUP(1,(INDEX(SFactors,,2)=10^LEFT(A217,1))*(INDEX(SFactors,,3)=(LEN(A217)-LEN(SUBSTITUTE(A217,"_","")))),INDEX(SFactors,,5))</f>
        <v>#N/A</v>
      </c>
      <c r="AB217" s="25" t="e">
        <f t="shared" si="5"/>
        <v>#N/A</v>
      </c>
      <c r="AC217" s="2" t="e">
        <f t="array" ref="AC217">_xlfn.XLOOKUP(1,
    (INDEX(SFactors,,2)=10^LEFT(A217,1)) *
    (INDEX(SFactors,,3)=(LEN(A217)-LEN(SUBSTITUTE(A217,"_","")))),
    INDEX(SFactors,,4)
)</f>
        <v>#N/A</v>
      </c>
      <c r="AD217" s="3" t="e">
        <f t="array" ref="AD217">_xlfn.XLOOKUP(1,(INDEX(SFactors,,2)=10^LEFT(A217,1))*(INDEX(SFactors,,3)=(LEN(A217)-LEN(SUBSTITUTE(A217,"_","")))),INDEX(SFactors,,5))</f>
        <v>#N/A</v>
      </c>
      <c r="AE217" s="3" t="e">
        <f t="shared" si="24"/>
        <v>#N/A</v>
      </c>
    </row>
    <row r="218" spans="1:3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2"/>
      <c r="Q218" s="3">
        <f t="shared" si="22"/>
        <v>47</v>
      </c>
      <c r="R218" s="36">
        <f t="shared" si="25"/>
        <v>23</v>
      </c>
      <c r="S218"/>
      <c r="AA218" s="2" t="e">
        <f t="array" ref="AA218">_xlfn.XLOOKUP(1,(INDEX(SFactors,,2)=10^LEFT(A218,1))*(INDEX(SFactors,,3)=(LEN(A218)-LEN(SUBSTITUTE(A218,"_","")))),INDEX(SFactors,,4))*PreTenB+(C218-PreTenB)*_xlfn.XLOOKUP(1,(INDEX(SFactors,,2)=10^LEFT(A218,1))*(INDEX(SFactors,,3)=(LEN(A218)-LEN(SUBSTITUTE(A218,"_","")))),INDEX(SFactors,,5))</f>
        <v>#N/A</v>
      </c>
      <c r="AB218" s="25" t="e">
        <f t="shared" si="5"/>
        <v>#N/A</v>
      </c>
      <c r="AC218" s="2" t="e">
        <f t="array" ref="AC218">_xlfn.XLOOKUP(1,
    (INDEX(SFactors,,2)=10^LEFT(A218,1)) *
    (INDEX(SFactors,,3)=(LEN(A218)-LEN(SUBSTITUTE(A218,"_","")))),
    INDEX(SFactors,,4)
)</f>
        <v>#N/A</v>
      </c>
      <c r="AD218" s="3" t="e">
        <f t="array" ref="AD218">_xlfn.XLOOKUP(1,(INDEX(SFactors,,2)=10^LEFT(A218,1))*(INDEX(SFactors,,3)=(LEN(A218)-LEN(SUBSTITUTE(A218,"_","")))),INDEX(SFactors,,5))</f>
        <v>#N/A</v>
      </c>
      <c r="AE218" s="3" t="e">
        <f t="shared" si="24"/>
        <v>#N/A</v>
      </c>
    </row>
    <row r="219" spans="1:3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2"/>
      <c r="Q219" s="3">
        <f t="shared" si="22"/>
        <v>59</v>
      </c>
      <c r="R219" s="36">
        <f t="shared" si="25"/>
        <v>23</v>
      </c>
      <c r="S219"/>
      <c r="AA219" s="2" t="e">
        <f t="array" ref="AA219">_xlfn.XLOOKUP(1,(INDEX(SFactors,,2)=10^LEFT(A219,1))*(INDEX(SFactors,,3)=(LEN(A219)-LEN(SUBSTITUTE(A219,"_","")))),INDEX(SFactors,,4))*PreTenB+(C219-PreTenB)*_xlfn.XLOOKUP(1,(INDEX(SFactors,,2)=10^LEFT(A219,1))*(INDEX(SFactors,,3)=(LEN(A219)-LEN(SUBSTITUTE(A219,"_","")))),INDEX(SFactors,,5))</f>
        <v>#N/A</v>
      </c>
      <c r="AB219" s="25" t="e">
        <f t="shared" si="5"/>
        <v>#N/A</v>
      </c>
      <c r="AC219" s="2" t="e">
        <f t="array" ref="AC219">_xlfn.XLOOKUP(1,
    (INDEX(SFactors,,2)=10^LEFT(A219,1)) *
    (INDEX(SFactors,,3)=(LEN(A219)-LEN(SUBSTITUTE(A219,"_","")))),
    INDEX(SFactors,,4)
)</f>
        <v>#N/A</v>
      </c>
      <c r="AD219" s="3" t="e">
        <f t="array" ref="AD219">_xlfn.XLOOKUP(1,(INDEX(SFactors,,2)=10^LEFT(A219,1))*(INDEX(SFactors,,3)=(LEN(A219)-LEN(SUBSTITUTE(A219,"_","")))),INDEX(SFactors,,5))</f>
        <v>#N/A</v>
      </c>
      <c r="AE219" s="3" t="e">
        <f t="shared" si="24"/>
        <v>#N/A</v>
      </c>
    </row>
    <row r="220" spans="1:3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2"/>
      <c r="Q220" s="3">
        <f t="shared" si="22"/>
        <v>71</v>
      </c>
      <c r="R220" s="36">
        <f t="shared" si="25"/>
        <v>23</v>
      </c>
      <c r="S220"/>
      <c r="AA220" s="2" t="e">
        <f t="array" ref="AA220">_xlfn.XLOOKUP(1,(INDEX(SFactors,,2)=10^LEFT(A220,1))*(INDEX(SFactors,,3)=(LEN(A220)-LEN(SUBSTITUTE(A220,"_","")))),INDEX(SFactors,,4))*PreTenB+(C220-PreTenB)*_xlfn.XLOOKUP(1,(INDEX(SFactors,,2)=10^LEFT(A220,1))*(INDEX(SFactors,,3)=(LEN(A220)-LEN(SUBSTITUTE(A220,"_","")))),INDEX(SFactors,,5))</f>
        <v>#N/A</v>
      </c>
      <c r="AB220" s="25" t="e">
        <f t="shared" si="5"/>
        <v>#N/A</v>
      </c>
      <c r="AC220" s="2" t="e">
        <f t="array" ref="AC220">_xlfn.XLOOKUP(1,
    (INDEX(SFactors,,2)=10^LEFT(A220,1)) *
    (INDEX(SFactors,,3)=(LEN(A220)-LEN(SUBSTITUTE(A220,"_","")))),
    INDEX(SFactors,,4)
)</f>
        <v>#N/A</v>
      </c>
      <c r="AD220" s="3" t="e">
        <f t="array" ref="AD220">_xlfn.XLOOKUP(1,(INDEX(SFactors,,2)=10^LEFT(A220,1))*(INDEX(SFactors,,3)=(LEN(A220)-LEN(SUBSTITUTE(A220,"_","")))),INDEX(SFactors,,5))</f>
        <v>#N/A</v>
      </c>
      <c r="AE220" s="3" t="e">
        <f t="shared" si="24"/>
        <v>#N/A</v>
      </c>
    </row>
    <row r="221" spans="1:3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2"/>
      <c r="Q221" s="3">
        <f t="shared" si="22"/>
        <v>83</v>
      </c>
      <c r="R221" s="36">
        <f t="shared" si="25"/>
        <v>35</v>
      </c>
      <c r="S221"/>
      <c r="AA221" s="2" t="e">
        <f t="array" ref="AA221">_xlfn.XLOOKUP(1,(INDEX(SFactors,,2)=10^LEFT(A221,1))*(INDEX(SFactors,,3)=(LEN(A221)-LEN(SUBSTITUTE(A221,"_","")))),INDEX(SFactors,,4))*PreTenB+(C221-PreTenB)*_xlfn.XLOOKUP(1,(INDEX(SFactors,,2)=10^LEFT(A221,1))*(INDEX(SFactors,,3)=(LEN(A221)-LEN(SUBSTITUTE(A221,"_","")))),INDEX(SFactors,,5))</f>
        <v>#N/A</v>
      </c>
      <c r="AB221" s="25" t="e">
        <f t="shared" ref="AB221" si="27">AA221/MBL</f>
        <v>#N/A</v>
      </c>
      <c r="AC221" s="2" t="e">
        <f t="array" ref="AC221">_xlfn.XLOOKUP(1,
    (INDEX(SFactors,,2)=10^LEFT(A221,1)) *
    (INDEX(SFactors,,3)=(LEN(A221)-LEN(SUBSTITUTE(A221,"_","")))),
    INDEX(SFactors,,4)
)</f>
        <v>#N/A</v>
      </c>
      <c r="AD221" s="3" t="e">
        <f t="array" ref="AD221">_xlfn.XLOOKUP(1,(INDEX(SFactors,,2)=10^LEFT(A221,1))*(INDEX(SFactors,,3)=(LEN(A221)-LEN(SUBSTITUTE(A221,"_","")))),INDEX(SFactors,,5))</f>
        <v>#N/A</v>
      </c>
      <c r="AE221" s="3" t="e">
        <f t="shared" si="24"/>
        <v>#N/A</v>
      </c>
    </row>
    <row r="222" spans="1:3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2"/>
      <c r="Q222" s="3">
        <f t="shared" si="22"/>
        <v>95</v>
      </c>
      <c r="R222" s="36">
        <f t="shared" si="25"/>
        <v>35</v>
      </c>
      <c r="S222"/>
      <c r="AA222" s="2" t="e">
        <f t="array" ref="AA222">_xlfn.XLOOKUP(1,(INDEX(SFactors,,2)=10^LEFT(A222,1))*(INDEX(SFactors,,3)=(LEN(A222)-LEN(SUBSTITUTE(A222,"_","")))),INDEX(SFactors,,4))*PreTenB+(C222-PreTenB)*_xlfn.XLOOKUP(1,(INDEX(SFactors,,2)=10^LEFT(A222,1))*(INDEX(SFactors,,3)=(LEN(A222)-LEN(SUBSTITUTE(A222,"_","")))),INDEX(SFactors,,5))</f>
        <v>#N/A</v>
      </c>
      <c r="AB222" s="25" t="e">
        <f t="shared" si="5"/>
        <v>#N/A</v>
      </c>
      <c r="AC222" s="2" t="e">
        <f t="array" ref="AC222">_xlfn.XLOOKUP(1,
    (INDEX(SFactors,,2)=10^LEFT(A222,1)) *
    (INDEX(SFactors,,3)=(LEN(A222)-LEN(SUBSTITUTE(A222,"_","")))),
    INDEX(SFactors,,4)
)</f>
        <v>#N/A</v>
      </c>
      <c r="AD222" s="3" t="e">
        <f t="array" ref="AD222">_xlfn.XLOOKUP(1,(INDEX(SFactors,,2)=10^LEFT(A222,1))*(INDEX(SFactors,,3)=(LEN(A222)-LEN(SUBSTITUTE(A222,"_","")))),INDEX(SFactors,,5))</f>
        <v>#N/A</v>
      </c>
      <c r="AE222" s="3" t="e">
        <f t="shared" si="24"/>
        <v>#N/A</v>
      </c>
    </row>
    <row r="223" spans="1:3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2"/>
      <c r="Q223" s="3">
        <f t="shared" si="22"/>
        <v>107</v>
      </c>
      <c r="R223" s="36">
        <f t="shared" si="25"/>
        <v>35</v>
      </c>
      <c r="S223"/>
      <c r="AA223" s="2" t="e">
        <f t="array" ref="AA223">_xlfn.XLOOKUP(1,(INDEX(SFactors,,2)=10^LEFT(A223,1))*(INDEX(SFactors,,3)=(LEN(A223)-LEN(SUBSTITUTE(A223,"_","")))),INDEX(SFactors,,4))*PreTenB+(C223-PreTenB)*_xlfn.XLOOKUP(1,(INDEX(SFactors,,2)=10^LEFT(A223,1))*(INDEX(SFactors,,3)=(LEN(A223)-LEN(SUBSTITUTE(A223,"_","")))),INDEX(SFactors,,5))</f>
        <v>#N/A</v>
      </c>
      <c r="AB223" s="25" t="e">
        <f t="shared" si="5"/>
        <v>#N/A</v>
      </c>
      <c r="AC223" s="2" t="e">
        <f t="array" ref="AC223">_xlfn.XLOOKUP(1,
    (INDEX(SFactors,,2)=10^LEFT(A223,1)) *
    (INDEX(SFactors,,3)=(LEN(A223)-LEN(SUBSTITUTE(A223,"_","")))),
    INDEX(SFactors,,4)
)</f>
        <v>#N/A</v>
      </c>
      <c r="AD223" s="3" t="e">
        <f t="array" ref="AD223">_xlfn.XLOOKUP(1,(INDEX(SFactors,,2)=10^LEFT(A223,1))*(INDEX(SFactors,,3)=(LEN(A223)-LEN(SUBSTITUTE(A223,"_","")))),INDEX(SFactors,,5))</f>
        <v>#N/A</v>
      </c>
      <c r="AE223" s="3" t="e">
        <f t="shared" si="24"/>
        <v>#N/A</v>
      </c>
    </row>
    <row r="224" spans="1:3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2"/>
      <c r="Q224" s="3">
        <f t="shared" si="22"/>
        <v>119</v>
      </c>
      <c r="R224" s="36">
        <f t="shared" si="25"/>
        <v>47</v>
      </c>
      <c r="S224"/>
      <c r="AA224" s="2" t="e">
        <f t="array" ref="AA224">_xlfn.XLOOKUP(1,(INDEX(SFactors,,2)=10^LEFT(A224,1))*(INDEX(SFactors,,3)=(LEN(A224)-LEN(SUBSTITUTE(A224,"_","")))),INDEX(SFactors,,4))*PreTenB+(C224-PreTenB)*_xlfn.XLOOKUP(1,(INDEX(SFactors,,2)=10^LEFT(A224,1))*(INDEX(SFactors,,3)=(LEN(A224)-LEN(SUBSTITUTE(A224,"_","")))),INDEX(SFactors,,5))</f>
        <v>#N/A</v>
      </c>
      <c r="AB224" s="25" t="e">
        <f t="shared" si="5"/>
        <v>#N/A</v>
      </c>
      <c r="AC224" s="2" t="e">
        <f t="array" ref="AC224">_xlfn.XLOOKUP(1,
    (INDEX(SFactors,,2)=10^LEFT(A224,1)) *
    (INDEX(SFactors,,3)=(LEN(A224)-LEN(SUBSTITUTE(A224,"_","")))),
    INDEX(SFactors,,4)
)</f>
        <v>#N/A</v>
      </c>
      <c r="AD224" s="3" t="e">
        <f t="array" ref="AD224">_xlfn.XLOOKUP(1,(INDEX(SFactors,,2)=10^LEFT(A224,1))*(INDEX(SFactors,,3)=(LEN(A224)-LEN(SUBSTITUTE(A224,"_","")))),INDEX(SFactors,,5))</f>
        <v>#N/A</v>
      </c>
      <c r="AE224" s="3" t="e">
        <f t="shared" si="24"/>
        <v>#N/A</v>
      </c>
    </row>
    <row r="225" spans="1:3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2"/>
      <c r="Q225" s="3">
        <f t="shared" si="22"/>
        <v>131</v>
      </c>
      <c r="R225" s="36">
        <f t="shared" si="25"/>
        <v>47</v>
      </c>
      <c r="S225"/>
      <c r="AA225" s="2" t="e">
        <f t="array" ref="AA225">_xlfn.XLOOKUP(1,(INDEX(SFactors,,2)=10^LEFT(A225,1))*(INDEX(SFactors,,3)=(LEN(A225)-LEN(SUBSTITUTE(A225,"_","")))),INDEX(SFactors,,4))*PreTenB+(C225-PreTenB)*_xlfn.XLOOKUP(1,(INDEX(SFactors,,2)=10^LEFT(A225,1))*(INDEX(SFactors,,3)=(LEN(A225)-LEN(SUBSTITUTE(A225,"_","")))),INDEX(SFactors,,5))</f>
        <v>#N/A</v>
      </c>
      <c r="AB225" s="25" t="e">
        <f t="shared" si="5"/>
        <v>#N/A</v>
      </c>
      <c r="AC225" s="2" t="e">
        <f t="array" ref="AC225">_xlfn.XLOOKUP(1,
    (INDEX(SFactors,,2)=10^LEFT(A225,1)) *
    (INDEX(SFactors,,3)=(LEN(A225)-LEN(SUBSTITUTE(A225,"_","")))),
    INDEX(SFactors,,4)
)</f>
        <v>#N/A</v>
      </c>
      <c r="AD225" s="3" t="e">
        <f t="array" ref="AD225">_xlfn.XLOOKUP(1,(INDEX(SFactors,,2)=10^LEFT(A225,1))*(INDEX(SFactors,,3)=(LEN(A225)-LEN(SUBSTITUTE(A225,"_","")))),INDEX(SFactors,,5))</f>
        <v>#N/A</v>
      </c>
      <c r="AE225" s="3" t="e">
        <f t="shared" si="24"/>
        <v>#N/A</v>
      </c>
    </row>
    <row r="226" spans="1:3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2"/>
      <c r="Q226" s="3">
        <f t="shared" si="22"/>
        <v>143</v>
      </c>
      <c r="R226" s="36">
        <f t="shared" si="25"/>
        <v>47</v>
      </c>
      <c r="S226"/>
      <c r="AA226" s="2" t="e">
        <f t="array" ref="AA226">_xlfn.XLOOKUP(1,(INDEX(SFactors,,2)=10^LEFT(A226,1))*(INDEX(SFactors,,3)=(LEN(A226)-LEN(SUBSTITUTE(A226,"_","")))),INDEX(SFactors,,4))*PreTenB+(C226-PreTenB)*_xlfn.XLOOKUP(1,(INDEX(SFactors,,2)=10^LEFT(A226,1))*(INDEX(SFactors,,3)=(LEN(A226)-LEN(SUBSTITUTE(A226,"_","")))),INDEX(SFactors,,5))</f>
        <v>#N/A</v>
      </c>
      <c r="AB226" s="25" t="e">
        <f t="shared" si="5"/>
        <v>#N/A</v>
      </c>
      <c r="AC226" s="2" t="e">
        <f t="array" ref="AC226">_xlfn.XLOOKUP(1,
    (INDEX(SFactors,,2)=10^LEFT(A226,1)) *
    (INDEX(SFactors,,3)=(LEN(A226)-LEN(SUBSTITUTE(A226,"_","")))),
    INDEX(SFactors,,4)
)</f>
        <v>#N/A</v>
      </c>
      <c r="AD226" s="3" t="e">
        <f t="array" ref="AD226">_xlfn.XLOOKUP(1,(INDEX(SFactors,,2)=10^LEFT(A226,1))*(INDEX(SFactors,,3)=(LEN(A226)-LEN(SUBSTITUTE(A226,"_","")))),INDEX(SFactors,,5))</f>
        <v>#N/A</v>
      </c>
      <c r="AE226" s="3" t="e">
        <f t="shared" si="24"/>
        <v>#N/A</v>
      </c>
    </row>
    <row r="227" spans="1:3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2"/>
      <c r="Q227" s="3">
        <f t="shared" si="22"/>
        <v>155</v>
      </c>
      <c r="R227" s="36">
        <f t="shared" si="25"/>
        <v>59</v>
      </c>
      <c r="S227"/>
      <c r="AA227" s="2" t="e">
        <f t="array" ref="AA227">_xlfn.XLOOKUP(1,(INDEX(SFactors,,2)=10^LEFT(A227,1))*(INDEX(SFactors,,3)=(LEN(A227)-LEN(SUBSTITUTE(A227,"_","")))),INDEX(SFactors,,4))*PreTenB+(C227-PreTenB)*_xlfn.XLOOKUP(1,(INDEX(SFactors,,2)=10^LEFT(A227,1))*(INDEX(SFactors,,3)=(LEN(A227)-LEN(SUBSTITUTE(A227,"_","")))),INDEX(SFactors,,5))</f>
        <v>#N/A</v>
      </c>
      <c r="AB227" s="25" t="e">
        <f t="shared" si="5"/>
        <v>#N/A</v>
      </c>
      <c r="AC227" s="2" t="e">
        <f t="array" ref="AC227">_xlfn.XLOOKUP(1,
    (INDEX(SFactors,,2)=10^LEFT(A227,1)) *
    (INDEX(SFactors,,3)=(LEN(A227)-LEN(SUBSTITUTE(A227,"_","")))),
    INDEX(SFactors,,4)
)</f>
        <v>#N/A</v>
      </c>
      <c r="AD227" s="3" t="e">
        <f t="array" ref="AD227">_xlfn.XLOOKUP(1,(INDEX(SFactors,,2)=10^LEFT(A227,1))*(INDEX(SFactors,,3)=(LEN(A227)-LEN(SUBSTITUTE(A227,"_","")))),INDEX(SFactors,,5))</f>
        <v>#N/A</v>
      </c>
      <c r="AE227" s="3" t="e">
        <f t="shared" si="24"/>
        <v>#N/A</v>
      </c>
    </row>
    <row r="228" spans="1:3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2"/>
      <c r="Q228" s="3">
        <f t="shared" si="22"/>
        <v>167</v>
      </c>
      <c r="R228" s="36">
        <f t="shared" si="25"/>
        <v>59</v>
      </c>
      <c r="S228"/>
      <c r="AA228" s="2" t="e">
        <f t="array" ref="AA228">_xlfn.XLOOKUP(1,(INDEX(SFactors,,2)=10^LEFT(A228,1))*(INDEX(SFactors,,3)=(LEN(A228)-LEN(SUBSTITUTE(A228,"_","")))),INDEX(SFactors,,4))*PreTenB+(C228-PreTenB)*_xlfn.XLOOKUP(1,(INDEX(SFactors,,2)=10^LEFT(A228,1))*(INDEX(SFactors,,3)=(LEN(A228)-LEN(SUBSTITUTE(A228,"_","")))),INDEX(SFactors,,5))</f>
        <v>#N/A</v>
      </c>
      <c r="AB228" s="25" t="e">
        <f t="shared" si="5"/>
        <v>#N/A</v>
      </c>
      <c r="AC228" s="2" t="e">
        <f t="array" ref="AC228">_xlfn.XLOOKUP(1,
    (INDEX(SFactors,,2)=10^LEFT(A228,1)) *
    (INDEX(SFactors,,3)=(LEN(A228)-LEN(SUBSTITUTE(A228,"_","")))),
    INDEX(SFactors,,4)
)</f>
        <v>#N/A</v>
      </c>
      <c r="AD228" s="3" t="e">
        <f t="array" ref="AD228">_xlfn.XLOOKUP(1,(INDEX(SFactors,,2)=10^LEFT(A228,1))*(INDEX(SFactors,,3)=(LEN(A228)-LEN(SUBSTITUTE(A228,"_","")))),INDEX(SFactors,,5))</f>
        <v>#N/A</v>
      </c>
      <c r="AE228" s="3" t="e">
        <f t="shared" si="24"/>
        <v>#N/A</v>
      </c>
    </row>
    <row r="229" spans="1:3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2"/>
      <c r="Q229" s="3">
        <f t="shared" si="22"/>
        <v>179</v>
      </c>
      <c r="R229" s="36">
        <f t="shared" si="25"/>
        <v>59</v>
      </c>
      <c r="S229"/>
      <c r="AA229" s="2" t="e">
        <f t="array" ref="AA229">_xlfn.XLOOKUP(1,(INDEX(SFactors,,2)=10^LEFT(A229,1))*(INDEX(SFactors,,3)=(LEN(A229)-LEN(SUBSTITUTE(A229,"_","")))),INDEX(SFactors,,4))*PreTenB+(C229-PreTenB)*_xlfn.XLOOKUP(1,(INDEX(SFactors,,2)=10^LEFT(A229,1))*(INDEX(SFactors,,3)=(LEN(A229)-LEN(SUBSTITUTE(A229,"_","")))),INDEX(SFactors,,5))</f>
        <v>#N/A</v>
      </c>
      <c r="AB229" s="25" t="e">
        <f t="shared" si="5"/>
        <v>#N/A</v>
      </c>
      <c r="AC229" s="2" t="e">
        <f t="array" ref="AC229">_xlfn.XLOOKUP(1,
    (INDEX(SFactors,,2)=10^LEFT(A229,1)) *
    (INDEX(SFactors,,3)=(LEN(A229)-LEN(SUBSTITUTE(A229,"_","")))),
    INDEX(SFactors,,4)
)</f>
        <v>#N/A</v>
      </c>
      <c r="AD229" s="3" t="e">
        <f t="array" ref="AD229">_xlfn.XLOOKUP(1,(INDEX(SFactors,,2)=10^LEFT(A229,1))*(INDEX(SFactors,,3)=(LEN(A229)-LEN(SUBSTITUTE(A229,"_","")))),INDEX(SFactors,,5))</f>
        <v>#N/A</v>
      </c>
      <c r="AE229" s="3" t="e">
        <f t="shared" si="24"/>
        <v>#N/A</v>
      </c>
    </row>
    <row r="230" spans="1:3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2"/>
      <c r="Q230" s="3">
        <f t="shared" si="22"/>
        <v>191</v>
      </c>
      <c r="R230" s="36">
        <f t="shared" si="25"/>
        <v>71</v>
      </c>
      <c r="S230"/>
      <c r="AA230" s="2" t="e">
        <f t="array" ref="AA230">_xlfn.XLOOKUP(1,(INDEX(SFactors,,2)=10^LEFT(A230,1))*(INDEX(SFactors,,3)=(LEN(A230)-LEN(SUBSTITUTE(A230,"_","")))),INDEX(SFactors,,4))*PreTenB+(C230-PreTenB)*_xlfn.XLOOKUP(1,(INDEX(SFactors,,2)=10^LEFT(A230,1))*(INDEX(SFactors,,3)=(LEN(A230)-LEN(SUBSTITUTE(A230,"_","")))),INDEX(SFactors,,5))</f>
        <v>#N/A</v>
      </c>
      <c r="AB230" s="25" t="e">
        <f t="shared" si="5"/>
        <v>#N/A</v>
      </c>
      <c r="AC230" s="2" t="e">
        <f t="array" ref="AC230">_xlfn.XLOOKUP(1,
    (INDEX(SFactors,,2)=10^LEFT(A230,1)) *
    (INDEX(SFactors,,3)=(LEN(A230)-LEN(SUBSTITUTE(A230,"_","")))),
    INDEX(SFactors,,4)
)</f>
        <v>#N/A</v>
      </c>
      <c r="AD230" s="3" t="e">
        <f t="array" ref="AD230">_xlfn.XLOOKUP(1,(INDEX(SFactors,,2)=10^LEFT(A230,1))*(INDEX(SFactors,,3)=(LEN(A230)-LEN(SUBSTITUTE(A230,"_","")))),INDEX(SFactors,,5))</f>
        <v>#N/A</v>
      </c>
      <c r="AE230" s="3" t="e">
        <f t="shared" si="24"/>
        <v>#N/A</v>
      </c>
    </row>
    <row r="231" spans="1:3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2"/>
      <c r="Q231" s="3">
        <f t="shared" si="22"/>
        <v>203</v>
      </c>
      <c r="R231" s="36">
        <f t="shared" si="25"/>
        <v>71</v>
      </c>
      <c r="S231"/>
      <c r="AA231" s="2" t="e">
        <f t="array" ref="AA231">_xlfn.XLOOKUP(1,(INDEX(SFactors,,2)=10^LEFT(A231,1))*(INDEX(SFactors,,3)=(LEN(A231)-LEN(SUBSTITUTE(A231,"_","")))),INDEX(SFactors,,4))*PreTenB+(C231-PreTenB)*_xlfn.XLOOKUP(1,(INDEX(SFactors,,2)=10^LEFT(A231,1))*(INDEX(SFactors,,3)=(LEN(A231)-LEN(SUBSTITUTE(A231,"_","")))),INDEX(SFactors,,5))</f>
        <v>#N/A</v>
      </c>
      <c r="AB231" s="25" t="e">
        <f t="shared" si="5"/>
        <v>#N/A</v>
      </c>
      <c r="AC231" s="2" t="e">
        <f t="array" ref="AC231">_xlfn.XLOOKUP(1,
    (INDEX(SFactors,,2)=10^LEFT(A231,1)) *
    (INDEX(SFactors,,3)=(LEN(A231)-LEN(SUBSTITUTE(A231,"_","")))),
    INDEX(SFactors,,4)
)</f>
        <v>#N/A</v>
      </c>
      <c r="AD231" s="3" t="e">
        <f t="array" ref="AD231">_xlfn.XLOOKUP(1,(INDEX(SFactors,,2)=10^LEFT(A231,1))*(INDEX(SFactors,,3)=(LEN(A231)-LEN(SUBSTITUTE(A231,"_","")))),INDEX(SFactors,,5))</f>
        <v>#N/A</v>
      </c>
      <c r="AE231" s="3" t="e">
        <f t="shared" si="24"/>
        <v>#N/A</v>
      </c>
    </row>
    <row r="232" spans="1:3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2"/>
      <c r="Q232" s="3">
        <f t="shared" si="22"/>
        <v>215</v>
      </c>
      <c r="R232" s="36">
        <f t="shared" si="25"/>
        <v>71</v>
      </c>
      <c r="S232"/>
      <c r="AA232" s="2" t="e">
        <f t="array" ref="AA232">_xlfn.XLOOKUP(1,(INDEX(SFactors,,2)=10^LEFT(A232,1))*(INDEX(SFactors,,3)=(LEN(A232)-LEN(SUBSTITUTE(A232,"_","")))),INDEX(SFactors,,4))*PreTenB+(C232-PreTenB)*_xlfn.XLOOKUP(1,(INDEX(SFactors,,2)=10^LEFT(A232,1))*(INDEX(SFactors,,3)=(LEN(A232)-LEN(SUBSTITUTE(A232,"_","")))),INDEX(SFactors,,5))</f>
        <v>#N/A</v>
      </c>
      <c r="AB232" s="25" t="e">
        <f t="shared" si="5"/>
        <v>#N/A</v>
      </c>
      <c r="AC232" s="2" t="e">
        <f t="array" ref="AC232">_xlfn.XLOOKUP(1,
    (INDEX(SFactors,,2)=10^LEFT(A232,1)) *
    (INDEX(SFactors,,3)=(LEN(A232)-LEN(SUBSTITUTE(A232,"_","")))),
    INDEX(SFactors,,4)
)</f>
        <v>#N/A</v>
      </c>
      <c r="AD232" s="3" t="e">
        <f t="array" ref="AD232">_xlfn.XLOOKUP(1,(INDEX(SFactors,,2)=10^LEFT(A232,1))*(INDEX(SFactors,,3)=(LEN(A232)-LEN(SUBSTITUTE(A232,"_","")))),INDEX(SFactors,,5))</f>
        <v>#N/A</v>
      </c>
      <c r="AE232" s="3" t="e">
        <f t="shared" si="24"/>
        <v>#N/A</v>
      </c>
    </row>
    <row r="233" spans="1:3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2"/>
      <c r="Q233" s="3">
        <f t="shared" si="22"/>
        <v>227</v>
      </c>
      <c r="R233" s="36">
        <f t="shared" si="25"/>
        <v>83</v>
      </c>
      <c r="S233"/>
      <c r="AA233" s="2" t="e">
        <f t="array" ref="AA233">_xlfn.XLOOKUP(1,(INDEX(SFactors,,2)=10^LEFT(A233,1))*(INDEX(SFactors,,3)=(LEN(A233)-LEN(SUBSTITUTE(A233,"_","")))),INDEX(SFactors,,4))*PreTenB+(C233-PreTenB)*_xlfn.XLOOKUP(1,(INDEX(SFactors,,2)=10^LEFT(A233,1))*(INDEX(SFactors,,3)=(LEN(A233)-LEN(SUBSTITUTE(A233,"_","")))),INDEX(SFactors,,5))</f>
        <v>#N/A</v>
      </c>
      <c r="AB233" s="25" t="e">
        <f t="shared" ref="AB233" si="28">AA233/MBL</f>
        <v>#N/A</v>
      </c>
      <c r="AC233" s="2" t="e">
        <f t="array" ref="AC233">_xlfn.XLOOKUP(1,
    (INDEX(SFactors,,2)=10^LEFT(A233,1)) *
    (INDEX(SFactors,,3)=(LEN(A233)-LEN(SUBSTITUTE(A233,"_","")))),
    INDEX(SFactors,,4)
)</f>
        <v>#N/A</v>
      </c>
      <c r="AD233" s="3" t="e">
        <f t="array" ref="AD233">_xlfn.XLOOKUP(1,(INDEX(SFactors,,2)=10^LEFT(A233,1))*(INDEX(SFactors,,3)=(LEN(A233)-LEN(SUBSTITUTE(A233,"_","")))),INDEX(SFactors,,5))</f>
        <v>#N/A</v>
      </c>
      <c r="AE233" s="3" t="e">
        <f t="shared" si="24"/>
        <v>#N/A</v>
      </c>
    </row>
    <row r="234" spans="1:3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2"/>
      <c r="Q234" s="3">
        <f t="shared" si="22"/>
        <v>239</v>
      </c>
      <c r="R234" s="36">
        <f t="shared" si="25"/>
        <v>83</v>
      </c>
      <c r="S234"/>
      <c r="AA234" s="2" t="e">
        <f t="array" ref="AA234">_xlfn.XLOOKUP(1,(INDEX(SFactors,,2)=10^LEFT(A234,1))*(INDEX(SFactors,,3)=(LEN(A234)-LEN(SUBSTITUTE(A234,"_","")))),INDEX(SFactors,,4))*PreTenB+(C234-PreTenB)*_xlfn.XLOOKUP(1,(INDEX(SFactors,,2)=10^LEFT(A234,1))*(INDEX(SFactors,,3)=(LEN(A234)-LEN(SUBSTITUTE(A234,"_","")))),INDEX(SFactors,,5))</f>
        <v>#N/A</v>
      </c>
      <c r="AB234" s="25" t="e">
        <f t="shared" si="5"/>
        <v>#N/A</v>
      </c>
      <c r="AC234" s="2" t="e">
        <f t="array" ref="AC234">_xlfn.XLOOKUP(1,
    (INDEX(SFactors,,2)=10^LEFT(A234,1)) *
    (INDEX(SFactors,,3)=(LEN(A234)-LEN(SUBSTITUTE(A234,"_","")))),
    INDEX(SFactors,,4)
)</f>
        <v>#N/A</v>
      </c>
      <c r="AD234" s="3" t="e">
        <f t="array" ref="AD234">_xlfn.XLOOKUP(1,(INDEX(SFactors,,2)=10^LEFT(A234,1))*(INDEX(SFactors,,3)=(LEN(A234)-LEN(SUBSTITUTE(A234,"_","")))),INDEX(SFactors,,5))</f>
        <v>#N/A</v>
      </c>
      <c r="AE234" s="3" t="e">
        <f t="shared" si="24"/>
        <v>#N/A</v>
      </c>
    </row>
    <row r="235" spans="1:3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2"/>
      <c r="Q235" s="3">
        <f t="shared" si="22"/>
        <v>251</v>
      </c>
      <c r="R235" s="36">
        <f t="shared" si="25"/>
        <v>83</v>
      </c>
      <c r="S235"/>
      <c r="AA235" s="2" t="e">
        <f t="array" ref="AA235">_xlfn.XLOOKUP(1,(INDEX(SFactors,,2)=10^LEFT(A235,1))*(INDEX(SFactors,,3)=(LEN(A235)-LEN(SUBSTITUTE(A235,"_","")))),INDEX(SFactors,,4))*PreTenB+(C235-PreTenB)*_xlfn.XLOOKUP(1,(INDEX(SFactors,,2)=10^LEFT(A235,1))*(INDEX(SFactors,,3)=(LEN(A235)-LEN(SUBSTITUTE(A235,"_","")))),INDEX(SFactors,,5))</f>
        <v>#N/A</v>
      </c>
      <c r="AB235" s="25" t="e">
        <f t="shared" si="5"/>
        <v>#N/A</v>
      </c>
      <c r="AC235" s="2" t="e">
        <f t="array" ref="AC235">_xlfn.XLOOKUP(1,
    (INDEX(SFactors,,2)=10^LEFT(A235,1)) *
    (INDEX(SFactors,,3)=(LEN(A235)-LEN(SUBSTITUTE(A235,"_","")))),
    INDEX(SFactors,,4)
)</f>
        <v>#N/A</v>
      </c>
      <c r="AD235" s="3" t="e">
        <f t="array" ref="AD235">_xlfn.XLOOKUP(1,(INDEX(SFactors,,2)=10^LEFT(A235,1))*(INDEX(SFactors,,3)=(LEN(A235)-LEN(SUBSTITUTE(A235,"_","")))),INDEX(SFactors,,5))</f>
        <v>#N/A</v>
      </c>
      <c r="AE235" s="3" t="e">
        <f t="shared" si="24"/>
        <v>#N/A</v>
      </c>
    </row>
    <row r="236" spans="1:3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2"/>
      <c r="Q236" s="3">
        <f t="shared" si="22"/>
        <v>12</v>
      </c>
      <c r="R236" s="36">
        <f t="shared" si="25"/>
        <v>12</v>
      </c>
      <c r="S236"/>
      <c r="AA236" s="2" t="e">
        <f t="array" ref="AA236">_xlfn.XLOOKUP(1,(INDEX(SFactors,,2)=10^LEFT(A236,1))*(INDEX(SFactors,,3)=(LEN(A236)-LEN(SUBSTITUTE(A236,"_","")))),INDEX(SFactors,,4))*PreTenB+(C236-PreTenB)*_xlfn.XLOOKUP(1,(INDEX(SFactors,,2)=10^LEFT(A236,1))*(INDEX(SFactors,,3)=(LEN(A236)-LEN(SUBSTITUTE(A236,"_","")))),INDEX(SFactors,,5))</f>
        <v>#N/A</v>
      </c>
      <c r="AB236" s="25" t="e">
        <f t="shared" si="5"/>
        <v>#N/A</v>
      </c>
      <c r="AC236" s="2" t="e">
        <f t="array" ref="AC236">_xlfn.XLOOKUP(1,
    (INDEX(SFactors,,2)=10^LEFT(A236,1)) *
    (INDEX(SFactors,,3)=(LEN(A236)-LEN(SUBSTITUTE(A236,"_","")))),
    INDEX(SFactors,,4)
)</f>
        <v>#N/A</v>
      </c>
      <c r="AD236" s="3" t="e">
        <f t="array" ref="AD236">_xlfn.XLOOKUP(1,(INDEX(SFactors,,2)=10^LEFT(A236,1))*(INDEX(SFactors,,3)=(LEN(A236)-LEN(SUBSTITUTE(A236,"_","")))),INDEX(SFactors,,5))</f>
        <v>#N/A</v>
      </c>
      <c r="AE236" s="3" t="e">
        <f t="shared" si="24"/>
        <v>#N/A</v>
      </c>
    </row>
    <row r="237" spans="1:3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2"/>
      <c r="Q237" s="3">
        <f t="shared" si="22"/>
        <v>24</v>
      </c>
      <c r="R237" s="36">
        <f t="shared" si="25"/>
        <v>12</v>
      </c>
      <c r="S237"/>
      <c r="AA237" s="2" t="e">
        <f t="array" ref="AA237">_xlfn.XLOOKUP(1,(INDEX(SFactors,,2)=10^LEFT(A237,1))*(INDEX(SFactors,,3)=(LEN(A237)-LEN(SUBSTITUTE(A237,"_","")))),INDEX(SFactors,,4))*PreTenB+(C237-PreTenB)*_xlfn.XLOOKUP(1,(INDEX(SFactors,,2)=10^LEFT(A237,1))*(INDEX(SFactors,,3)=(LEN(A237)-LEN(SUBSTITUTE(A237,"_","")))),INDEX(SFactors,,5))</f>
        <v>#N/A</v>
      </c>
      <c r="AB237" s="25" t="e">
        <f t="shared" si="5"/>
        <v>#N/A</v>
      </c>
      <c r="AC237" s="2" t="e">
        <f t="array" ref="AC237">_xlfn.XLOOKUP(1,
    (INDEX(SFactors,,2)=10^LEFT(A237,1)) *
    (INDEX(SFactors,,3)=(LEN(A237)-LEN(SUBSTITUTE(A237,"_","")))),
    INDEX(SFactors,,4)
)</f>
        <v>#N/A</v>
      </c>
      <c r="AD237" s="3" t="e">
        <f t="array" ref="AD237">_xlfn.XLOOKUP(1,(INDEX(SFactors,,2)=10^LEFT(A237,1))*(INDEX(SFactors,,3)=(LEN(A237)-LEN(SUBSTITUTE(A237,"_","")))),INDEX(SFactors,,5))</f>
        <v>#N/A</v>
      </c>
      <c r="AE237" s="3" t="e">
        <f t="shared" si="24"/>
        <v>#N/A</v>
      </c>
    </row>
    <row r="238" spans="1:3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2"/>
      <c r="Q238" s="3">
        <f t="shared" si="22"/>
        <v>36</v>
      </c>
      <c r="R238" s="36">
        <f t="shared" si="25"/>
        <v>12</v>
      </c>
      <c r="S238"/>
      <c r="AA238" s="2" t="e">
        <f t="array" ref="AA238">_xlfn.XLOOKUP(1,(INDEX(SFactors,,2)=10^LEFT(A238,1))*(INDEX(SFactors,,3)=(LEN(A238)-LEN(SUBSTITUTE(A238,"_","")))),INDEX(SFactors,,4))*PreTenB+(C238-PreTenB)*_xlfn.XLOOKUP(1,(INDEX(SFactors,,2)=10^LEFT(A238,1))*(INDEX(SFactors,,3)=(LEN(A238)-LEN(SUBSTITUTE(A238,"_","")))),INDEX(SFactors,,5))</f>
        <v>#N/A</v>
      </c>
      <c r="AB238" s="25" t="e">
        <f t="shared" si="5"/>
        <v>#N/A</v>
      </c>
      <c r="AC238" s="2" t="e">
        <f t="array" ref="AC238">_xlfn.XLOOKUP(1,
    (INDEX(SFactors,,2)=10^LEFT(A238,1)) *
    (INDEX(SFactors,,3)=(LEN(A238)-LEN(SUBSTITUTE(A238,"_","")))),
    INDEX(SFactors,,4)
)</f>
        <v>#N/A</v>
      </c>
      <c r="AD238" s="3" t="e">
        <f t="array" ref="AD238">_xlfn.XLOOKUP(1,(INDEX(SFactors,,2)=10^LEFT(A238,1))*(INDEX(SFactors,,3)=(LEN(A238)-LEN(SUBSTITUTE(A238,"_","")))),INDEX(SFactors,,5))</f>
        <v>#N/A</v>
      </c>
      <c r="AE238" s="3" t="e">
        <f t="shared" si="24"/>
        <v>#N/A</v>
      </c>
    </row>
    <row r="239" spans="1:3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2"/>
      <c r="Q239" s="3">
        <f t="shared" si="22"/>
        <v>48</v>
      </c>
      <c r="R239" s="36">
        <f t="shared" si="25"/>
        <v>24</v>
      </c>
      <c r="S239"/>
      <c r="AA239" s="2" t="e">
        <f t="array" ref="AA239">_xlfn.XLOOKUP(1,(INDEX(SFactors,,2)=10^LEFT(A239,1))*(INDEX(SFactors,,3)=(LEN(A239)-LEN(SUBSTITUTE(A239,"_","")))),INDEX(SFactors,,4))*PreTenB+(C239-PreTenB)*_xlfn.XLOOKUP(1,(INDEX(SFactors,,2)=10^LEFT(A239,1))*(INDEX(SFactors,,3)=(LEN(A239)-LEN(SUBSTITUTE(A239,"_","")))),INDEX(SFactors,,5))</f>
        <v>#N/A</v>
      </c>
      <c r="AB239" s="25" t="e">
        <f t="shared" si="5"/>
        <v>#N/A</v>
      </c>
      <c r="AC239" s="2" t="e">
        <f t="array" ref="AC239">_xlfn.XLOOKUP(1,
    (INDEX(SFactors,,2)=10^LEFT(A239,1)) *
    (INDEX(SFactors,,3)=(LEN(A239)-LEN(SUBSTITUTE(A239,"_","")))),
    INDEX(SFactors,,4)
)</f>
        <v>#N/A</v>
      </c>
      <c r="AD239" s="3" t="e">
        <f t="array" ref="AD239">_xlfn.XLOOKUP(1,(INDEX(SFactors,,2)=10^LEFT(A239,1))*(INDEX(SFactors,,3)=(LEN(A239)-LEN(SUBSTITUTE(A239,"_","")))),INDEX(SFactors,,5))</f>
        <v>#N/A</v>
      </c>
      <c r="AE239" s="3" t="e">
        <f t="shared" si="24"/>
        <v>#N/A</v>
      </c>
    </row>
    <row r="240" spans="1:3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2"/>
      <c r="Q240" s="3">
        <f t="shared" si="22"/>
        <v>60</v>
      </c>
      <c r="R240" s="36">
        <f t="shared" si="25"/>
        <v>24</v>
      </c>
      <c r="S240"/>
      <c r="AA240" s="2" t="e">
        <f t="array" ref="AA240">_xlfn.XLOOKUP(1,(INDEX(SFactors,,2)=10^LEFT(A240,1))*(INDEX(SFactors,,3)=(LEN(A240)-LEN(SUBSTITUTE(A240,"_","")))),INDEX(SFactors,,4))*PreTenB+(C240-PreTenB)*_xlfn.XLOOKUP(1,(INDEX(SFactors,,2)=10^LEFT(A240,1))*(INDEX(SFactors,,3)=(LEN(A240)-LEN(SUBSTITUTE(A240,"_","")))),INDEX(SFactors,,5))</f>
        <v>#N/A</v>
      </c>
      <c r="AB240" s="25" t="e">
        <f t="shared" si="5"/>
        <v>#N/A</v>
      </c>
      <c r="AC240" s="2" t="e">
        <f t="array" ref="AC240">_xlfn.XLOOKUP(1,
    (INDEX(SFactors,,2)=10^LEFT(A240,1)) *
    (INDEX(SFactors,,3)=(LEN(A240)-LEN(SUBSTITUTE(A240,"_","")))),
    INDEX(SFactors,,4)
)</f>
        <v>#N/A</v>
      </c>
      <c r="AD240" s="3" t="e">
        <f t="array" ref="AD240">_xlfn.XLOOKUP(1,(INDEX(SFactors,,2)=10^LEFT(A240,1))*(INDEX(SFactors,,3)=(LEN(A240)-LEN(SUBSTITUTE(A240,"_","")))),INDEX(SFactors,,5))</f>
        <v>#N/A</v>
      </c>
      <c r="AE240" s="3" t="e">
        <f t="shared" si="24"/>
        <v>#N/A</v>
      </c>
    </row>
    <row r="241" spans="1:3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2"/>
      <c r="Q241" s="3">
        <f t="shared" si="22"/>
        <v>72</v>
      </c>
      <c r="R241" s="36">
        <f t="shared" si="25"/>
        <v>24</v>
      </c>
      <c r="S241"/>
      <c r="AA241" s="2" t="e">
        <f t="array" ref="AA241">_xlfn.XLOOKUP(1,(INDEX(SFactors,,2)=10^LEFT(A241,1))*(INDEX(SFactors,,3)=(LEN(A241)-LEN(SUBSTITUTE(A241,"_","")))),INDEX(SFactors,,4))*PreTenB+(C241-PreTenB)*_xlfn.XLOOKUP(1,(INDEX(SFactors,,2)=10^LEFT(A241,1))*(INDEX(SFactors,,3)=(LEN(A241)-LEN(SUBSTITUTE(A241,"_","")))),INDEX(SFactors,,5))</f>
        <v>#N/A</v>
      </c>
      <c r="AB241" s="25" t="e">
        <f t="shared" si="5"/>
        <v>#N/A</v>
      </c>
      <c r="AC241" s="2" t="e">
        <f t="array" ref="AC241">_xlfn.XLOOKUP(1,
    (INDEX(SFactors,,2)=10^LEFT(A241,1)) *
    (INDEX(SFactors,,3)=(LEN(A241)-LEN(SUBSTITUTE(A241,"_","")))),
    INDEX(SFactors,,4)
)</f>
        <v>#N/A</v>
      </c>
      <c r="AD241" s="3" t="e">
        <f t="array" ref="AD241">_xlfn.XLOOKUP(1,(INDEX(SFactors,,2)=10^LEFT(A241,1))*(INDEX(SFactors,,3)=(LEN(A241)-LEN(SUBSTITUTE(A241,"_","")))),INDEX(SFactors,,5))</f>
        <v>#N/A</v>
      </c>
      <c r="AE241" s="3" t="e">
        <f t="shared" si="24"/>
        <v>#N/A</v>
      </c>
    </row>
    <row r="242" spans="1:3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2"/>
      <c r="Q242" s="3">
        <f t="shared" si="22"/>
        <v>84</v>
      </c>
      <c r="R242" s="36">
        <f t="shared" si="25"/>
        <v>36</v>
      </c>
      <c r="S242"/>
      <c r="AA242" s="2" t="e">
        <f t="array" ref="AA242">_xlfn.XLOOKUP(1,(INDEX(SFactors,,2)=10^LEFT(A242,1))*(INDEX(SFactors,,3)=(LEN(A242)-LEN(SUBSTITUTE(A242,"_","")))),INDEX(SFactors,,4))*PreTenB+(C242-PreTenB)*_xlfn.XLOOKUP(1,(INDEX(SFactors,,2)=10^LEFT(A242,1))*(INDEX(SFactors,,3)=(LEN(A242)-LEN(SUBSTITUTE(A242,"_","")))),INDEX(SFactors,,5))</f>
        <v>#N/A</v>
      </c>
      <c r="AB242" s="25" t="e">
        <f t="shared" si="5"/>
        <v>#N/A</v>
      </c>
      <c r="AC242" s="2" t="e">
        <f t="array" ref="AC242">_xlfn.XLOOKUP(1,
    (INDEX(SFactors,,2)=10^LEFT(A242,1)) *
    (INDEX(SFactors,,3)=(LEN(A242)-LEN(SUBSTITUTE(A242,"_","")))),
    INDEX(SFactors,,4)
)</f>
        <v>#N/A</v>
      </c>
      <c r="AD242" s="3" t="e">
        <f t="array" ref="AD242">_xlfn.XLOOKUP(1,(INDEX(SFactors,,2)=10^LEFT(A242,1))*(INDEX(SFactors,,3)=(LEN(A242)-LEN(SUBSTITUTE(A242,"_","")))),INDEX(SFactors,,5))</f>
        <v>#N/A</v>
      </c>
      <c r="AE242" s="3" t="e">
        <f t="shared" si="24"/>
        <v>#N/A</v>
      </c>
    </row>
    <row r="243" spans="1:3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2"/>
      <c r="Q243" s="3">
        <f t="shared" si="22"/>
        <v>96</v>
      </c>
      <c r="R243" s="36">
        <f t="shared" si="25"/>
        <v>36</v>
      </c>
      <c r="S243"/>
      <c r="AA243" s="2" t="e">
        <f t="array" ref="AA243">_xlfn.XLOOKUP(1,(INDEX(SFactors,,2)=10^LEFT(A243,1))*(INDEX(SFactors,,3)=(LEN(A243)-LEN(SUBSTITUTE(A243,"_","")))),INDEX(SFactors,,4))*PreTenB+(C243-PreTenB)*_xlfn.XLOOKUP(1,(INDEX(SFactors,,2)=10^LEFT(A243,1))*(INDEX(SFactors,,3)=(LEN(A243)-LEN(SUBSTITUTE(A243,"_","")))),INDEX(SFactors,,5))</f>
        <v>#N/A</v>
      </c>
      <c r="AB243" s="25" t="e">
        <f t="shared" si="5"/>
        <v>#N/A</v>
      </c>
      <c r="AC243" s="2" t="e">
        <f t="array" ref="AC243">_xlfn.XLOOKUP(1,
    (INDEX(SFactors,,2)=10^LEFT(A243,1)) *
    (INDEX(SFactors,,3)=(LEN(A243)-LEN(SUBSTITUTE(A243,"_","")))),
    INDEX(SFactors,,4)
)</f>
        <v>#N/A</v>
      </c>
      <c r="AD243" s="3" t="e">
        <f t="array" ref="AD243">_xlfn.XLOOKUP(1,(INDEX(SFactors,,2)=10^LEFT(A243,1))*(INDEX(SFactors,,3)=(LEN(A243)-LEN(SUBSTITUTE(A243,"_","")))),INDEX(SFactors,,5))</f>
        <v>#N/A</v>
      </c>
      <c r="AE243" s="3" t="e">
        <f t="shared" si="24"/>
        <v>#N/A</v>
      </c>
    </row>
    <row r="244" spans="1:3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2"/>
      <c r="Q244" s="3">
        <f t="shared" si="22"/>
        <v>108</v>
      </c>
      <c r="R244" s="36">
        <f t="shared" si="25"/>
        <v>36</v>
      </c>
      <c r="S244"/>
      <c r="AA244" s="2" t="e">
        <f t="array" ref="AA244">_xlfn.XLOOKUP(1,(INDEX(SFactors,,2)=10^LEFT(A244,1))*(INDEX(SFactors,,3)=(LEN(A244)-LEN(SUBSTITUTE(A244,"_","")))),INDEX(SFactors,,4))*PreTenB+(C244-PreTenB)*_xlfn.XLOOKUP(1,(INDEX(SFactors,,2)=10^LEFT(A244,1))*(INDEX(SFactors,,3)=(LEN(A244)-LEN(SUBSTITUTE(A244,"_","")))),INDEX(SFactors,,5))</f>
        <v>#N/A</v>
      </c>
      <c r="AB244" s="25" t="e">
        <f t="shared" si="5"/>
        <v>#N/A</v>
      </c>
      <c r="AC244" s="2" t="e">
        <f t="array" ref="AC244">_xlfn.XLOOKUP(1,
    (INDEX(SFactors,,2)=10^LEFT(A244,1)) *
    (INDEX(SFactors,,3)=(LEN(A244)-LEN(SUBSTITUTE(A244,"_","")))),
    INDEX(SFactors,,4)
)</f>
        <v>#N/A</v>
      </c>
      <c r="AD244" s="3" t="e">
        <f t="array" ref="AD244">_xlfn.XLOOKUP(1,(INDEX(SFactors,,2)=10^LEFT(A244,1))*(INDEX(SFactors,,3)=(LEN(A244)-LEN(SUBSTITUTE(A244,"_","")))),INDEX(SFactors,,5))</f>
        <v>#N/A</v>
      </c>
      <c r="AE244" s="3" t="e">
        <f t="shared" si="24"/>
        <v>#N/A</v>
      </c>
    </row>
    <row r="245" spans="1:31" x14ac:dyDescent="0.25">
      <c r="A245" s="8"/>
      <c r="Q245" s="3">
        <f t="shared" si="22"/>
        <v>120</v>
      </c>
      <c r="R245" s="36">
        <f t="shared" si="25"/>
        <v>48</v>
      </c>
      <c r="AA245" s="2" t="e">
        <f t="array" ref="AA245">_xlfn.XLOOKUP(1,(INDEX(SFactors,,2)=10^LEFT(A245,1))*(INDEX(SFactors,,3)=(LEN(A245)-LEN(SUBSTITUTE(A245,"_","")))),INDEX(SFactors,,4))*PreTenB+(C245-PreTenB)*_xlfn.XLOOKUP(1,(INDEX(SFactors,,2)=10^LEFT(A245,1))*(INDEX(SFactors,,3)=(LEN(A245)-LEN(SUBSTITUTE(A245,"_","")))),INDEX(SFactors,,5))</f>
        <v>#N/A</v>
      </c>
      <c r="AB245" s="25" t="e">
        <f t="shared" ref="AB245:AB256" si="29">AA245/MBL</f>
        <v>#N/A</v>
      </c>
      <c r="AC245" s="2" t="e">
        <f t="array" ref="AC245">_xlfn.XLOOKUP(1,
    (INDEX(SFactors,,2)=10^LEFT(A245,1)) *
    (INDEX(SFactors,,3)=(LEN(A245)-LEN(SUBSTITUTE(A245,"_","")))),
    INDEX(SFactors,,4)
)</f>
        <v>#N/A</v>
      </c>
      <c r="AD245" s="3" t="e">
        <f t="array" ref="AD245">_xlfn.XLOOKUP(1,(INDEX(SFactors,,2)=10^LEFT(A245,1))*(INDEX(SFactors,,3)=(LEN(A245)-LEN(SUBSTITUTE(A245,"_","")))),INDEX(SFactors,,5))</f>
        <v>#N/A</v>
      </c>
      <c r="AE245" s="3" t="e">
        <f t="shared" ref="AE245:AE256" si="30">PreTenB*AC245+(C245-PreTenB)*AD245</f>
        <v>#N/A</v>
      </c>
    </row>
    <row r="246" spans="1:31" x14ac:dyDescent="0.25">
      <c r="A246" s="8"/>
      <c r="Q246" s="3">
        <f t="shared" si="22"/>
        <v>132</v>
      </c>
      <c r="R246" s="36">
        <f t="shared" si="25"/>
        <v>48</v>
      </c>
      <c r="AA246" s="2" t="e">
        <f t="array" ref="AA246">_xlfn.XLOOKUP(1,(INDEX(SFactors,,2)=10^LEFT(A246,1))*(INDEX(SFactors,,3)=(LEN(A246)-LEN(SUBSTITUTE(A246,"_","")))),INDEX(SFactors,,4))*PreTenB+(C246-PreTenB)*_xlfn.XLOOKUP(1,(INDEX(SFactors,,2)=10^LEFT(A246,1))*(INDEX(SFactors,,3)=(LEN(A246)-LEN(SUBSTITUTE(A246,"_","")))),INDEX(SFactors,,5))</f>
        <v>#N/A</v>
      </c>
      <c r="AB246" s="25" t="e">
        <f t="shared" si="29"/>
        <v>#N/A</v>
      </c>
      <c r="AC246" s="2" t="e">
        <f t="array" ref="AC246">_xlfn.XLOOKUP(1,
    (INDEX(SFactors,,2)=10^LEFT(A246,1)) *
    (INDEX(SFactors,,3)=(LEN(A246)-LEN(SUBSTITUTE(A246,"_","")))),
    INDEX(SFactors,,4)
)</f>
        <v>#N/A</v>
      </c>
      <c r="AD246" s="3" t="e">
        <f t="array" ref="AD246">_xlfn.XLOOKUP(1,(INDEX(SFactors,,2)=10^LEFT(A246,1))*(INDEX(SFactors,,3)=(LEN(A246)-LEN(SUBSTITUTE(A246,"_","")))),INDEX(SFactors,,5))</f>
        <v>#N/A</v>
      </c>
      <c r="AE246" s="3" t="e">
        <f t="shared" si="30"/>
        <v>#N/A</v>
      </c>
    </row>
    <row r="247" spans="1:31" x14ac:dyDescent="0.25">
      <c r="A247" s="8"/>
      <c r="Q247" s="3">
        <f t="shared" si="22"/>
        <v>144</v>
      </c>
      <c r="R247" s="36">
        <f t="shared" si="25"/>
        <v>48</v>
      </c>
      <c r="AA247" s="2" t="e">
        <f t="array" ref="AA247">_xlfn.XLOOKUP(1,(INDEX(SFactors,,2)=10^LEFT(A247,1))*(INDEX(SFactors,,3)=(LEN(A247)-LEN(SUBSTITUTE(A247,"_","")))),INDEX(SFactors,,4))*PreTenB+(C247-PreTenB)*_xlfn.XLOOKUP(1,(INDEX(SFactors,,2)=10^LEFT(A247,1))*(INDEX(SFactors,,3)=(LEN(A247)-LEN(SUBSTITUTE(A247,"_","")))),INDEX(SFactors,,5))</f>
        <v>#N/A</v>
      </c>
      <c r="AB247" s="25" t="e">
        <f t="shared" si="29"/>
        <v>#N/A</v>
      </c>
      <c r="AC247" s="2" t="e">
        <f t="array" ref="AC247">_xlfn.XLOOKUP(1,
    (INDEX(SFactors,,2)=10^LEFT(A247,1)) *
    (INDEX(SFactors,,3)=(LEN(A247)-LEN(SUBSTITUTE(A247,"_","")))),
    INDEX(SFactors,,4)
)</f>
        <v>#N/A</v>
      </c>
      <c r="AD247" s="3" t="e">
        <f t="array" ref="AD247">_xlfn.XLOOKUP(1,(INDEX(SFactors,,2)=10^LEFT(A247,1))*(INDEX(SFactors,,3)=(LEN(A247)-LEN(SUBSTITUTE(A247,"_","")))),INDEX(SFactors,,5))</f>
        <v>#N/A</v>
      </c>
      <c r="AE247" s="3" t="e">
        <f t="shared" si="30"/>
        <v>#N/A</v>
      </c>
    </row>
    <row r="248" spans="1:31" x14ac:dyDescent="0.25">
      <c r="A248" s="8"/>
      <c r="Q248" s="3">
        <f t="shared" si="22"/>
        <v>156</v>
      </c>
      <c r="R248" s="36">
        <f t="shared" si="25"/>
        <v>60</v>
      </c>
      <c r="AA248" s="2" t="e">
        <f t="array" ref="AA248">_xlfn.XLOOKUP(1,(INDEX(SFactors,,2)=10^LEFT(A248,1))*(INDEX(SFactors,,3)=(LEN(A248)-LEN(SUBSTITUTE(A248,"_","")))),INDEX(SFactors,,4))*PreTenB+(C248-PreTenB)*_xlfn.XLOOKUP(1,(INDEX(SFactors,,2)=10^LEFT(A248,1))*(INDEX(SFactors,,3)=(LEN(A248)-LEN(SUBSTITUTE(A248,"_","")))),INDEX(SFactors,,5))</f>
        <v>#N/A</v>
      </c>
      <c r="AB248" s="25" t="e">
        <f t="shared" si="29"/>
        <v>#N/A</v>
      </c>
      <c r="AC248" s="2" t="e">
        <f t="array" ref="AC248">_xlfn.XLOOKUP(1,
    (INDEX(SFactors,,2)=10^LEFT(A248,1)) *
    (INDEX(SFactors,,3)=(LEN(A248)-LEN(SUBSTITUTE(A248,"_","")))),
    INDEX(SFactors,,4)
)</f>
        <v>#N/A</v>
      </c>
      <c r="AD248" s="3" t="e">
        <f t="array" ref="AD248">_xlfn.XLOOKUP(1,(INDEX(SFactors,,2)=10^LEFT(A248,1))*(INDEX(SFactors,,3)=(LEN(A248)-LEN(SUBSTITUTE(A248,"_","")))),INDEX(SFactors,,5))</f>
        <v>#N/A</v>
      </c>
      <c r="AE248" s="3" t="e">
        <f t="shared" si="30"/>
        <v>#N/A</v>
      </c>
    </row>
    <row r="249" spans="1:31" x14ac:dyDescent="0.25">
      <c r="A249" s="8"/>
      <c r="Q249" s="3">
        <f t="shared" si="22"/>
        <v>168</v>
      </c>
      <c r="R249" s="36">
        <f t="shared" si="25"/>
        <v>60</v>
      </c>
      <c r="AA249" s="2" t="e">
        <f t="array" ref="AA249">_xlfn.XLOOKUP(1,(INDEX(SFactors,,2)=10^LEFT(A249,1))*(INDEX(SFactors,,3)=(LEN(A249)-LEN(SUBSTITUTE(A249,"_","")))),INDEX(SFactors,,4))*PreTenB+(C249-PreTenB)*_xlfn.XLOOKUP(1,(INDEX(SFactors,,2)=10^LEFT(A249,1))*(INDEX(SFactors,,3)=(LEN(A249)-LEN(SUBSTITUTE(A249,"_","")))),INDEX(SFactors,,5))</f>
        <v>#N/A</v>
      </c>
      <c r="AB249" s="25" t="e">
        <f t="shared" si="29"/>
        <v>#N/A</v>
      </c>
      <c r="AC249" s="2" t="e">
        <f t="array" ref="AC249">_xlfn.XLOOKUP(1,
    (INDEX(SFactors,,2)=10^LEFT(A249,1)) *
    (INDEX(SFactors,,3)=(LEN(A249)-LEN(SUBSTITUTE(A249,"_","")))),
    INDEX(SFactors,,4)
)</f>
        <v>#N/A</v>
      </c>
      <c r="AD249" s="3" t="e">
        <f t="array" ref="AD249">_xlfn.XLOOKUP(1,(INDEX(SFactors,,2)=10^LEFT(A249,1))*(INDEX(SFactors,,3)=(LEN(A249)-LEN(SUBSTITUTE(A249,"_","")))),INDEX(SFactors,,5))</f>
        <v>#N/A</v>
      </c>
      <c r="AE249" s="3" t="e">
        <f t="shared" si="30"/>
        <v>#N/A</v>
      </c>
    </row>
    <row r="250" spans="1:31" x14ac:dyDescent="0.25">
      <c r="A250" s="8"/>
      <c r="Q250" s="3">
        <f t="shared" si="22"/>
        <v>180</v>
      </c>
      <c r="R250" s="36">
        <f t="shared" si="25"/>
        <v>60</v>
      </c>
      <c r="AA250" s="2" t="e">
        <f t="array" ref="AA250">_xlfn.XLOOKUP(1,(INDEX(SFactors,,2)=10^LEFT(A250,1))*(INDEX(SFactors,,3)=(LEN(A250)-LEN(SUBSTITUTE(A250,"_","")))),INDEX(SFactors,,4))*PreTenB+(C250-PreTenB)*_xlfn.XLOOKUP(1,(INDEX(SFactors,,2)=10^LEFT(A250,1))*(INDEX(SFactors,,3)=(LEN(A250)-LEN(SUBSTITUTE(A250,"_","")))),INDEX(SFactors,,5))</f>
        <v>#N/A</v>
      </c>
      <c r="AB250" s="25" t="e">
        <f t="shared" si="29"/>
        <v>#N/A</v>
      </c>
      <c r="AC250" s="2" t="e">
        <f t="array" ref="AC250">_xlfn.XLOOKUP(1,
    (INDEX(SFactors,,2)=10^LEFT(A250,1)) *
    (INDEX(SFactors,,3)=(LEN(A250)-LEN(SUBSTITUTE(A250,"_","")))),
    INDEX(SFactors,,4)
)</f>
        <v>#N/A</v>
      </c>
      <c r="AD250" s="3" t="e">
        <f t="array" ref="AD250">_xlfn.XLOOKUP(1,(INDEX(SFactors,,2)=10^LEFT(A250,1))*(INDEX(SFactors,,3)=(LEN(A250)-LEN(SUBSTITUTE(A250,"_","")))),INDEX(SFactors,,5))</f>
        <v>#N/A</v>
      </c>
      <c r="AE250" s="3" t="e">
        <f t="shared" si="30"/>
        <v>#N/A</v>
      </c>
    </row>
    <row r="251" spans="1:31" x14ac:dyDescent="0.25">
      <c r="A251" s="8"/>
      <c r="Q251" s="3">
        <f t="shared" si="22"/>
        <v>192</v>
      </c>
      <c r="R251" s="36">
        <f t="shared" si="25"/>
        <v>72</v>
      </c>
      <c r="AA251" s="2" t="e">
        <f t="array" ref="AA251">_xlfn.XLOOKUP(1,(INDEX(SFactors,,2)=10^LEFT(A251,1))*(INDEX(SFactors,,3)=(LEN(A251)-LEN(SUBSTITUTE(A251,"_","")))),INDEX(SFactors,,4))*PreTenB+(C251-PreTenB)*_xlfn.XLOOKUP(1,(INDEX(SFactors,,2)=10^LEFT(A251,1))*(INDEX(SFactors,,3)=(LEN(A251)-LEN(SUBSTITUTE(A251,"_","")))),INDEX(SFactors,,5))</f>
        <v>#N/A</v>
      </c>
      <c r="AB251" s="25" t="e">
        <f t="shared" si="29"/>
        <v>#N/A</v>
      </c>
      <c r="AC251" s="2" t="e">
        <f t="array" ref="AC251">_xlfn.XLOOKUP(1,
    (INDEX(SFactors,,2)=10^LEFT(A251,1)) *
    (INDEX(SFactors,,3)=(LEN(A251)-LEN(SUBSTITUTE(A251,"_","")))),
    INDEX(SFactors,,4)
)</f>
        <v>#N/A</v>
      </c>
      <c r="AD251" s="3" t="e">
        <f t="array" ref="AD251">_xlfn.XLOOKUP(1,(INDEX(SFactors,,2)=10^LEFT(A251,1))*(INDEX(SFactors,,3)=(LEN(A251)-LEN(SUBSTITUTE(A251,"_","")))),INDEX(SFactors,,5))</f>
        <v>#N/A</v>
      </c>
      <c r="AE251" s="3" t="e">
        <f t="shared" si="30"/>
        <v>#N/A</v>
      </c>
    </row>
    <row r="252" spans="1:31" x14ac:dyDescent="0.25">
      <c r="A252" s="8"/>
      <c r="Q252" s="3">
        <f t="shared" si="22"/>
        <v>204</v>
      </c>
      <c r="R252" s="36">
        <f t="shared" si="25"/>
        <v>72</v>
      </c>
      <c r="AA252" s="2" t="e">
        <f t="array" ref="AA252">_xlfn.XLOOKUP(1,(INDEX(SFactors,,2)=10^LEFT(A252,1))*(INDEX(SFactors,,3)=(LEN(A252)-LEN(SUBSTITUTE(A252,"_","")))),INDEX(SFactors,,4))*PreTenB+(C252-PreTenB)*_xlfn.XLOOKUP(1,(INDEX(SFactors,,2)=10^LEFT(A252,1))*(INDEX(SFactors,,3)=(LEN(A252)-LEN(SUBSTITUTE(A252,"_","")))),INDEX(SFactors,,5))</f>
        <v>#N/A</v>
      </c>
      <c r="AB252" s="25" t="e">
        <f t="shared" si="29"/>
        <v>#N/A</v>
      </c>
      <c r="AC252" s="2" t="e">
        <f t="array" ref="AC252">_xlfn.XLOOKUP(1,
    (INDEX(SFactors,,2)=10^LEFT(A252,1)) *
    (INDEX(SFactors,,3)=(LEN(A252)-LEN(SUBSTITUTE(A252,"_","")))),
    INDEX(SFactors,,4)
)</f>
        <v>#N/A</v>
      </c>
      <c r="AD252" s="3" t="e">
        <f t="array" ref="AD252">_xlfn.XLOOKUP(1,(INDEX(SFactors,,2)=10^LEFT(A252,1))*(INDEX(SFactors,,3)=(LEN(A252)-LEN(SUBSTITUTE(A252,"_","")))),INDEX(SFactors,,5))</f>
        <v>#N/A</v>
      </c>
      <c r="AE252" s="3" t="e">
        <f t="shared" si="30"/>
        <v>#N/A</v>
      </c>
    </row>
    <row r="253" spans="1:31" x14ac:dyDescent="0.25">
      <c r="A253" s="8"/>
      <c r="Q253" s="3">
        <f t="shared" si="22"/>
        <v>216</v>
      </c>
      <c r="R253" s="36">
        <f t="shared" si="25"/>
        <v>72</v>
      </c>
      <c r="AA253" s="2" t="e">
        <f t="array" ref="AA253">_xlfn.XLOOKUP(1,(INDEX(SFactors,,2)=10^LEFT(A253,1))*(INDEX(SFactors,,3)=(LEN(A253)-LEN(SUBSTITUTE(A253,"_","")))),INDEX(SFactors,,4))*PreTenB+(C253-PreTenB)*_xlfn.XLOOKUP(1,(INDEX(SFactors,,2)=10^LEFT(A253,1))*(INDEX(SFactors,,3)=(LEN(A253)-LEN(SUBSTITUTE(A253,"_","")))),INDEX(SFactors,,5))</f>
        <v>#N/A</v>
      </c>
      <c r="AB253" s="25" t="e">
        <f t="shared" si="29"/>
        <v>#N/A</v>
      </c>
      <c r="AC253" s="2" t="e">
        <f t="array" ref="AC253">_xlfn.XLOOKUP(1,
    (INDEX(SFactors,,2)=10^LEFT(A253,1)) *
    (INDEX(SFactors,,3)=(LEN(A253)-LEN(SUBSTITUTE(A253,"_","")))),
    INDEX(SFactors,,4)
)</f>
        <v>#N/A</v>
      </c>
      <c r="AD253" s="3" t="e">
        <f t="array" ref="AD253">_xlfn.XLOOKUP(1,(INDEX(SFactors,,2)=10^LEFT(A253,1))*(INDEX(SFactors,,3)=(LEN(A253)-LEN(SUBSTITUTE(A253,"_","")))),INDEX(SFactors,,5))</f>
        <v>#N/A</v>
      </c>
      <c r="AE253" s="3" t="e">
        <f t="shared" si="30"/>
        <v>#N/A</v>
      </c>
    </row>
    <row r="254" spans="1:31" x14ac:dyDescent="0.25">
      <c r="A254" s="8"/>
      <c r="Q254" s="3">
        <f t="shared" si="22"/>
        <v>228</v>
      </c>
      <c r="R254" s="36">
        <f t="shared" si="25"/>
        <v>84</v>
      </c>
      <c r="AA254" s="2" t="e">
        <f t="array" ref="AA254">_xlfn.XLOOKUP(1,(INDEX(SFactors,,2)=10^LEFT(A254,1))*(INDEX(SFactors,,3)=(LEN(A254)-LEN(SUBSTITUTE(A254,"_","")))),INDEX(SFactors,,4))*PreTenB+(C254-PreTenB)*_xlfn.XLOOKUP(1,(INDEX(SFactors,,2)=10^LEFT(A254,1))*(INDEX(SFactors,,3)=(LEN(A254)-LEN(SUBSTITUTE(A254,"_","")))),INDEX(SFactors,,5))</f>
        <v>#N/A</v>
      </c>
      <c r="AB254" s="25" t="e">
        <f t="shared" si="29"/>
        <v>#N/A</v>
      </c>
      <c r="AC254" s="2" t="e">
        <f t="array" ref="AC254">_xlfn.XLOOKUP(1,
    (INDEX(SFactors,,2)=10^LEFT(A254,1)) *
    (INDEX(SFactors,,3)=(LEN(A254)-LEN(SUBSTITUTE(A254,"_","")))),
    INDEX(SFactors,,4)
)</f>
        <v>#N/A</v>
      </c>
      <c r="AD254" s="3" t="e">
        <f t="array" ref="AD254">_xlfn.XLOOKUP(1,(INDEX(SFactors,,2)=10^LEFT(A254,1))*(INDEX(SFactors,,3)=(LEN(A254)-LEN(SUBSTITUTE(A254,"_","")))),INDEX(SFactors,,5))</f>
        <v>#N/A</v>
      </c>
      <c r="AE254" s="3" t="e">
        <f t="shared" si="30"/>
        <v>#N/A</v>
      </c>
    </row>
    <row r="255" spans="1:31" x14ac:dyDescent="0.25">
      <c r="A255" s="8"/>
      <c r="Q255" s="3">
        <f t="shared" si="22"/>
        <v>240</v>
      </c>
      <c r="R255" s="36">
        <f t="shared" si="25"/>
        <v>84</v>
      </c>
      <c r="AA255" s="2" t="e">
        <f t="array" ref="AA255">_xlfn.XLOOKUP(1,(INDEX(SFactors,,2)=10^LEFT(A255,1))*(INDEX(SFactors,,3)=(LEN(A255)-LEN(SUBSTITUTE(A255,"_","")))),INDEX(SFactors,,4))*PreTenB+(C255-PreTenB)*_xlfn.XLOOKUP(1,(INDEX(SFactors,,2)=10^LEFT(A255,1))*(INDEX(SFactors,,3)=(LEN(A255)-LEN(SUBSTITUTE(A255,"_","")))),INDEX(SFactors,,5))</f>
        <v>#N/A</v>
      </c>
      <c r="AB255" s="25" t="e">
        <f t="shared" si="29"/>
        <v>#N/A</v>
      </c>
      <c r="AC255" s="2" t="e">
        <f t="array" ref="AC255">_xlfn.XLOOKUP(1,
    (INDEX(SFactors,,2)=10^LEFT(A255,1)) *
    (INDEX(SFactors,,3)=(LEN(A255)-LEN(SUBSTITUTE(A255,"_","")))),
    INDEX(SFactors,,4)
)</f>
        <v>#N/A</v>
      </c>
      <c r="AD255" s="3" t="e">
        <f t="array" ref="AD255">_xlfn.XLOOKUP(1,(INDEX(SFactors,,2)=10^LEFT(A255,1))*(INDEX(SFactors,,3)=(LEN(A255)-LEN(SUBSTITUTE(A255,"_","")))),INDEX(SFactors,,5))</f>
        <v>#N/A</v>
      </c>
      <c r="AE255" s="3" t="e">
        <f t="shared" si="30"/>
        <v>#N/A</v>
      </c>
    </row>
    <row r="256" spans="1:31" x14ac:dyDescent="0.25">
      <c r="A256" s="8"/>
      <c r="Q256" s="3">
        <f t="shared" si="22"/>
        <v>252</v>
      </c>
      <c r="R256" s="36">
        <f t="shared" si="25"/>
        <v>84</v>
      </c>
      <c r="AA256" s="2" t="e">
        <f t="array" ref="AA256">_xlfn.XLOOKUP(1,(INDEX(SFactors,,2)=10^LEFT(A256,1))*(INDEX(SFactors,,3)=(LEN(A256)-LEN(SUBSTITUTE(A256,"_","")))),INDEX(SFactors,,4))*PreTenB+(C256-PreTenB)*_xlfn.XLOOKUP(1,(INDEX(SFactors,,2)=10^LEFT(A256,1))*(INDEX(SFactors,,3)=(LEN(A256)-LEN(SUBSTITUTE(A256,"_","")))),INDEX(SFactors,,5))</f>
        <v>#N/A</v>
      </c>
      <c r="AB256" s="25" t="e">
        <f t="shared" si="29"/>
        <v>#N/A</v>
      </c>
      <c r="AC256" s="2" t="e">
        <f t="array" ref="AC256">_xlfn.XLOOKUP(1,
    (INDEX(SFactors,,2)=10^LEFT(A256,1)) *
    (INDEX(SFactors,,3)=(LEN(A256)-LEN(SUBSTITUTE(A256,"_","")))),
    INDEX(SFactors,,4)
)</f>
        <v>#N/A</v>
      </c>
      <c r="AD256" s="3" t="e">
        <f t="array" ref="AD256">_xlfn.XLOOKUP(1,(INDEX(SFactors,,2)=10^LEFT(A256,1))*(INDEX(SFactors,,3)=(LEN(A256)-LEN(SUBSTITUTE(A256,"_","")))),INDEX(SFactors,,5))</f>
        <v>#N/A</v>
      </c>
      <c r="AE256" s="3" t="e">
        <f t="shared" si="30"/>
        <v>#N/A</v>
      </c>
    </row>
    <row r="257" spans="17:18" x14ac:dyDescent="0.25">
      <c r="Q257" s="3"/>
      <c r="R257" s="3"/>
    </row>
    <row r="258" spans="17:18" x14ac:dyDescent="0.25">
      <c r="Q258" s="3"/>
      <c r="R258" s="3"/>
    </row>
    <row r="259" spans="17:18" x14ac:dyDescent="0.25">
      <c r="Q259" s="3"/>
      <c r="R259" s="3"/>
    </row>
  </sheetData>
  <mergeCells count="6">
    <mergeCell ref="L3:M3"/>
    <mergeCell ref="J3:K3"/>
    <mergeCell ref="N3:O3"/>
    <mergeCell ref="A3:A4"/>
    <mergeCell ref="B3:F3"/>
    <mergeCell ref="G3:I3"/>
  </mergeCells>
  <conditionalFormatting sqref="A5:X16 Z5:AC16 A17:AC256">
    <cfRule type="expression" dxfId="6" priority="1">
      <formula>MOD(ROW()-4,$S$1)=0</formula>
    </cfRule>
  </conditionalFormatting>
  <conditionalFormatting sqref="K26:K4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{9E11360D-7C16-4A07-A612-BEC1197E7896}</x14:id>
        </ext>
      </extLst>
    </cfRule>
  </conditionalFormatting>
  <conditionalFormatting sqref="O26:O4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{AC50D737-D1ED-4C83-89C5-1E52E8386E61}</x14:id>
        </ext>
      </extLst>
    </cfRule>
  </conditionalFormatting>
  <conditionalFormatting sqref="AG5:AG16 AG18">
    <cfRule type="top10" dxfId="5" priority="4" rank="1"/>
  </conditionalFormatting>
  <conditionalFormatting sqref="AH5:AH16">
    <cfRule type="top10" dxfId="4" priority="5" rank="1"/>
  </conditionalFormatting>
  <conditionalFormatting sqref="AI5:AI16">
    <cfRule type="top10" dxfId="3" priority="9" rank="1"/>
  </conditionalFormatting>
  <conditionalFormatting sqref="AJ5:AJ16">
    <cfRule type="top10" dxfId="2" priority="6" rank="1"/>
    <cfRule type="top10" dxfId="1" priority="8" rank="1"/>
  </conditionalFormatting>
  <conditionalFormatting sqref="AK5:AK16">
    <cfRule type="top10" dxfId="0" priority="7" rank="1"/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11360D-7C16-4A07-A612-BEC1197E7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K26:K46</xm:sqref>
        </x14:conditionalFormatting>
        <x14:conditionalFormatting xmlns:xm="http://schemas.microsoft.com/office/excel/2006/main">
          <x14:cfRule type="dataBar" id="{AC50D737-D1ED-4C83-89C5-1E52E8386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O26:O46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SIMA</vt:lpstr>
      <vt:lpstr>SIMAPlt</vt:lpstr>
      <vt:lpstr>SFactors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Kong, Xiangjun</dc:creator>
  <cp:lastModifiedBy>XKO</cp:lastModifiedBy>
  <dcterms:created xsi:type="dcterms:W3CDTF">2025-05-16T12:26:37Z</dcterms:created>
  <dcterms:modified xsi:type="dcterms:W3CDTF">2025-10-10T13:55:38Z</dcterms:modified>
</cp:coreProperties>
</file>